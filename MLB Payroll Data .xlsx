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B Teams Payroll" sheetId="1" r:id="rId4"/>
    <sheet state="visible" name="Luxury Tax Threshold" sheetId="2" r:id="rId5"/>
    <sheet state="visible" name="World Series" sheetId="3" r:id="rId6"/>
  </sheets>
  <definedNames/>
  <calcPr/>
  <extLst>
    <ext uri="GoogleSheetsCustomDataVersion2">
      <go:sheetsCustomData xmlns:go="http://customooxmlschemas.google.com/" r:id="rId7" roundtripDataChecksum="lDm7rdsCvr9B9Vnn6bgSEL5wvEl1AfMztDVppsG9a20="/>
    </ext>
  </extLst>
</workbook>
</file>

<file path=xl/sharedStrings.xml><?xml version="1.0" encoding="utf-8"?>
<sst xmlns="http://schemas.openxmlformats.org/spreadsheetml/2006/main" count="1238" uniqueCount="201">
  <si>
    <t>Team</t>
  </si>
  <si>
    <t>Record</t>
  </si>
  <si>
    <t>Tax Payroll</t>
  </si>
  <si>
    <t>Cap Space</t>
  </si>
  <si>
    <t>Luxury Tax Bill</t>
  </si>
  <si>
    <t>Year</t>
  </si>
  <si>
    <t> LAD</t>
  </si>
  <si>
    <t>93-69 </t>
  </si>
  <si>
    <t> NYM</t>
  </si>
  <si>
    <t>83-79 </t>
  </si>
  <si>
    <t> NYY</t>
  </si>
  <si>
    <t>94-68 </t>
  </si>
  <si>
    <t> PHI</t>
  </si>
  <si>
    <t>96-66 </t>
  </si>
  <si>
    <t> TOR</t>
  </si>
  <si>
    <t> SD</t>
  </si>
  <si>
    <t>90-72 </t>
  </si>
  <si>
    <t> BOS</t>
  </si>
  <si>
    <t>89-73 </t>
  </si>
  <si>
    <t> HOU</t>
  </si>
  <si>
    <t>87-75 </t>
  </si>
  <si>
    <t> TEX</t>
  </si>
  <si>
    <t>81-81 </t>
  </si>
  <si>
    <t>-</t>
  </si>
  <si>
    <t> ATL</t>
  </si>
  <si>
    <t>76-86 </t>
  </si>
  <si>
    <t> CHC</t>
  </si>
  <si>
    <t>92-70 </t>
  </si>
  <si>
    <t> LAA</t>
  </si>
  <si>
    <t>72-90 </t>
  </si>
  <si>
    <t> SF</t>
  </si>
  <si>
    <t> ARI</t>
  </si>
  <si>
    <t>80-82 </t>
  </si>
  <si>
    <t> SEA</t>
  </si>
  <si>
    <t> BAL</t>
  </si>
  <si>
    <t>75-87 </t>
  </si>
  <si>
    <t> KC</t>
  </si>
  <si>
    <t>82-80 </t>
  </si>
  <si>
    <t> DET</t>
  </si>
  <si>
    <t> STL</t>
  </si>
  <si>
    <t>78-84 </t>
  </si>
  <si>
    <t> MIL</t>
  </si>
  <si>
    <t>97-65 </t>
  </si>
  <si>
    <t> COL</t>
  </si>
  <si>
    <t>43-119 </t>
  </si>
  <si>
    <t> CIN</t>
  </si>
  <si>
    <t> MIN</t>
  </si>
  <si>
    <t>70-92 </t>
  </si>
  <si>
    <t> WSH</t>
  </si>
  <si>
    <t>66-96 </t>
  </si>
  <si>
    <t> CLE</t>
  </si>
  <si>
    <t>88-74 </t>
  </si>
  <si>
    <t xml:space="preserve">  OAK</t>
  </si>
  <si>
    <t> PIT</t>
  </si>
  <si>
    <t>71-91 </t>
  </si>
  <si>
    <t> TB</t>
  </si>
  <si>
    <t>77-85 </t>
  </si>
  <si>
    <t> CHW</t>
  </si>
  <si>
    <t>60-102 </t>
  </si>
  <si>
    <t> MIA</t>
  </si>
  <si>
    <t>79-83 </t>
  </si>
  <si>
    <t>98-64 </t>
  </si>
  <si>
    <t>88-73 </t>
  </si>
  <si>
    <t>95-67 </t>
  </si>
  <si>
    <t>74-88 </t>
  </si>
  <si>
    <t>63-99 </t>
  </si>
  <si>
    <t>61-101 </t>
  </si>
  <si>
    <t>85-77 </t>
  </si>
  <si>
    <t>86-76 </t>
  </si>
  <si>
    <t>92-69 </t>
  </si>
  <si>
    <t>41-121 </t>
  </si>
  <si>
    <t>91-71 </t>
  </si>
  <si>
    <t>62-100 </t>
  </si>
  <si>
    <t> OAK</t>
  </si>
  <si>
    <t>69-93 </t>
  </si>
  <si>
    <t>100-62 </t>
  </si>
  <si>
    <t>104-58 </t>
  </si>
  <si>
    <t>73-89 </t>
  </si>
  <si>
    <t>59-103 </t>
  </si>
  <si>
    <t>84-78 </t>
  </si>
  <si>
    <t>99-63 </t>
  </si>
  <si>
    <t>56-106 </t>
  </si>
  <si>
    <t>101-61 </t>
  </si>
  <si>
    <t>50-112 </t>
  </si>
  <si>
    <t>111-51 </t>
  </si>
  <si>
    <t>106-56 </t>
  </si>
  <si>
    <t>68-94 </t>
  </si>
  <si>
    <t>55-107 </t>
  </si>
  <si>
    <t>65-97 </t>
  </si>
  <si>
    <t>107-55 </t>
  </si>
  <si>
    <t>74-87 </t>
  </si>
  <si>
    <t>52-110 </t>
  </si>
  <si>
    <t>67-95 </t>
  </si>
  <si>
    <t>33-27 </t>
  </si>
  <si>
    <t>29-31 </t>
  </si>
  <si>
    <t>34-26 </t>
  </si>
  <si>
    <t>28-32 </t>
  </si>
  <si>
    <t>43-17 </t>
  </si>
  <si>
    <t>26-34 </t>
  </si>
  <si>
    <t>24-36 </t>
  </si>
  <si>
    <t>35-25 </t>
  </si>
  <si>
    <t>30-28 </t>
  </si>
  <si>
    <t>22-38 </t>
  </si>
  <si>
    <t>37-23 </t>
  </si>
  <si>
    <t>36-24 </t>
  </si>
  <si>
    <t>31-29 </t>
  </si>
  <si>
    <t>32-28 </t>
  </si>
  <si>
    <t>25-35 </t>
  </si>
  <si>
    <t>23-35 </t>
  </si>
  <si>
    <t>27-33 </t>
  </si>
  <si>
    <t>40-20 </t>
  </si>
  <si>
    <t>19-41 </t>
  </si>
  <si>
    <t>103-59 </t>
  </si>
  <si>
    <t>47-114 </t>
  </si>
  <si>
    <t>72-89 </t>
  </si>
  <si>
    <t>54-108 </t>
  </si>
  <si>
    <t>57-105 </t>
  </si>
  <si>
    <t>108-54</t>
  </si>
  <si>
    <t>82-80</t>
  </si>
  <si>
    <t>73-89</t>
  </si>
  <si>
    <t>92-71</t>
  </si>
  <si>
    <t>95-68</t>
  </si>
  <si>
    <t>100-62</t>
  </si>
  <si>
    <t>103-59</t>
  </si>
  <si>
    <t>80-82</t>
  </si>
  <si>
    <t>88-74</t>
  </si>
  <si>
    <t>89-73</t>
  </si>
  <si>
    <t>67-95</t>
  </si>
  <si>
    <t>77-85</t>
  </si>
  <si>
    <t>91-72</t>
  </si>
  <si>
    <t>91-71</t>
  </si>
  <si>
    <t>47-115</t>
  </si>
  <si>
    <t>78-84</t>
  </si>
  <si>
    <t>90-72</t>
  </si>
  <si>
    <t>64-98</t>
  </si>
  <si>
    <t>58-104</t>
  </si>
  <si>
    <t>66-96</t>
  </si>
  <si>
    <t>96-67</t>
  </si>
  <si>
    <t>63-98</t>
  </si>
  <si>
    <t>82-79</t>
  </si>
  <si>
    <t>97-65</t>
  </si>
  <si>
    <t>62-100</t>
  </si>
  <si>
    <t>104-58</t>
  </si>
  <si>
    <t>93-69</t>
  </si>
  <si>
    <t>92-70</t>
  </si>
  <si>
    <t>83-79</t>
  </si>
  <si>
    <t>75-87</t>
  </si>
  <si>
    <t>76-86</t>
  </si>
  <si>
    <t>70-92</t>
  </si>
  <si>
    <t>87-75</t>
  </si>
  <si>
    <t>102-60</t>
  </si>
  <si>
    <t>101-61</t>
  </si>
  <si>
    <t>72-90</t>
  </si>
  <si>
    <t>85-77</t>
  </si>
  <si>
    <t>68-94</t>
  </si>
  <si>
    <t>71-91</t>
  </si>
  <si>
    <t>86-76</t>
  </si>
  <si>
    <t>84-78</t>
  </si>
  <si>
    <t>86-75</t>
  </si>
  <si>
    <t>103-58</t>
  </si>
  <si>
    <t>74-88</t>
  </si>
  <si>
    <t>81-81</t>
  </si>
  <si>
    <t>95-67</t>
  </si>
  <si>
    <t>68-93</t>
  </si>
  <si>
    <t>79-82</t>
  </si>
  <si>
    <t>59-103</t>
  </si>
  <si>
    <t>94-67</t>
  </si>
  <si>
    <t>69-93</t>
  </si>
  <si>
    <t>78-83</t>
  </si>
  <si>
    <t>79-83</t>
  </si>
  <si>
    <t>60-102</t>
  </si>
  <si>
    <t>94-68</t>
  </si>
  <si>
    <t>98-64</t>
  </si>
  <si>
    <t>96-66</t>
  </si>
  <si>
    <t>63-99</t>
  </si>
  <si>
    <t>51-111</t>
  </si>
  <si>
    <t>61-101</t>
  </si>
  <si>
    <t>55-107</t>
  </si>
  <si>
    <t>Luxury Tax Threshold</t>
  </si>
  <si>
    <t>WS Champion</t>
  </si>
  <si>
    <t>WS Runner Up</t>
  </si>
  <si>
    <t>LAD</t>
  </si>
  <si>
    <t>TOR</t>
  </si>
  <si>
    <t>NYY</t>
  </si>
  <si>
    <t>TEX</t>
  </si>
  <si>
    <t>ARI</t>
  </si>
  <si>
    <t>HOU</t>
  </si>
  <si>
    <t>PHI</t>
  </si>
  <si>
    <t>ATL</t>
  </si>
  <si>
    <t>TB</t>
  </si>
  <si>
    <t>WSH</t>
  </si>
  <si>
    <t>BOS</t>
  </si>
  <si>
    <t>CHC</t>
  </si>
  <si>
    <t>CLE</t>
  </si>
  <si>
    <t>KC</t>
  </si>
  <si>
    <t>NYM</t>
  </si>
  <si>
    <t>SFG</t>
  </si>
  <si>
    <t>KCR</t>
  </si>
  <si>
    <t>STL</t>
  </si>
  <si>
    <t>SF</t>
  </si>
  <si>
    <t>DET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</si>
</sst>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7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  <font>
      <b/>
      <sz val="11.0"/>
      <color rgb="FFFFFFFF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Font="1"/>
    <xf borderId="0" fillId="0" fontId="1" numFmtId="0" xfId="0" applyAlignment="1" applyFont="1">
      <alignment horizontal="center"/>
    </xf>
    <xf borderId="1" fillId="3" fontId="4" numFmtId="0" xfId="0" applyAlignment="1" applyBorder="1" applyFill="1" applyFont="1">
      <alignment horizontal="center" readingOrder="0" shrinkToFit="0" vertical="bottom" wrapText="0"/>
    </xf>
    <xf borderId="2" fillId="3" fontId="4" numFmtId="0" xfId="0" applyAlignment="1" applyBorder="1" applyFont="1">
      <alignment horizontal="center" readingOrder="0" shrinkToFit="0" vertical="bottom" wrapText="0"/>
    </xf>
    <xf borderId="1" fillId="4" fontId="5" numFmtId="3" xfId="0" applyAlignment="1" applyBorder="1" applyFill="1" applyFont="1" applyNumberFormat="1">
      <alignment horizontal="center" readingOrder="0" shrinkToFit="0" vertical="bottom" wrapText="0"/>
    </xf>
    <xf borderId="2" fillId="4" fontId="5" numFmtId="0" xfId="0" applyAlignment="1" applyBorder="1" applyFont="1">
      <alignment horizontal="center" readingOrder="0" shrinkToFit="0" vertical="bottom" wrapText="0"/>
    </xf>
    <xf borderId="1" fillId="0" fontId="5" numFmtId="3" xfId="0" applyAlignment="1" applyBorder="1" applyFont="1" applyNumberFormat="1">
      <alignment horizontal="center" readingOrder="0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0" fillId="0" fontId="1" numFmtId="164" xfId="0" applyFont="1" applyNumberFormat="1"/>
    <xf borderId="3" fillId="3" fontId="4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3" fillId="0" fontId="5" numFmtId="0" xfId="0" applyAlignment="1" applyBorder="1" applyFont="1">
      <alignment horizontal="center" readingOrder="0" shrinkToFit="0" vertical="bottom" wrapText="0"/>
    </xf>
    <xf borderId="3" fillId="0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MLB Teams Payrol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421" displayName="Table_1" name="Table_1" id="1">
  <tableColumns count="6">
    <tableColumn name="Team" id="1"/>
    <tableColumn name="Record" id="2"/>
    <tableColumn name="Tax Payroll" id="3"/>
    <tableColumn name="Cap Space" id="4"/>
    <tableColumn name="Luxury Tax Bill" id="5"/>
    <tableColumn name="Year" id="6"/>
  </tableColumns>
  <tableStyleInfo name="MLB Teams Payrol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4.88"/>
    <col customWidth="1" min="3" max="3" width="34.88"/>
    <col customWidth="1" min="4" max="4" width="32.0"/>
    <col customWidth="1" min="5" max="5" width="28.25"/>
    <col customWidth="1" min="6" max="7" width="43.13"/>
    <col customWidth="1" min="8" max="25" width="8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3" t="s">
        <v>6</v>
      </c>
      <c r="B2" s="4" t="s">
        <v>7</v>
      </c>
      <c r="C2" s="5">
        <v>4.16823208E8</v>
      </c>
      <c r="D2" s="5">
        <v>-1.75823208E8</v>
      </c>
      <c r="E2" s="5">
        <v>1.68805529E8</v>
      </c>
      <c r="F2" s="4">
        <v>2025.0</v>
      </c>
    </row>
    <row r="3">
      <c r="A3" s="3" t="s">
        <v>8</v>
      </c>
      <c r="B3" s="4" t="s">
        <v>9</v>
      </c>
      <c r="C3" s="5">
        <v>3.41471934E8</v>
      </c>
      <c r="D3" s="5">
        <v>-1.00471934E8</v>
      </c>
      <c r="E3" s="5">
        <v>8.5919127E7</v>
      </c>
      <c r="F3" s="4">
        <v>2025.0</v>
      </c>
    </row>
    <row r="4">
      <c r="A4" s="3" t="s">
        <v>10</v>
      </c>
      <c r="B4" s="4" t="s">
        <v>11</v>
      </c>
      <c r="C4" s="5">
        <v>3.18095908E8</v>
      </c>
      <c r="D4" s="5">
        <v>-7.7095908E7</v>
      </c>
      <c r="E4" s="5">
        <v>6.0205499E7</v>
      </c>
      <c r="F4" s="4">
        <v>2025.0</v>
      </c>
    </row>
    <row r="5">
      <c r="A5" s="3" t="s">
        <v>12</v>
      </c>
      <c r="B5" s="4" t="s">
        <v>13</v>
      </c>
      <c r="C5" s="5">
        <v>3.08027103E8</v>
      </c>
      <c r="D5" s="5">
        <v>-6.7027103E7</v>
      </c>
      <c r="E5" s="5">
        <v>4.9129813E7</v>
      </c>
      <c r="F5" s="4">
        <v>2025.0</v>
      </c>
    </row>
    <row r="6">
      <c r="A6" s="3" t="s">
        <v>14</v>
      </c>
      <c r="B6" s="4" t="s">
        <v>11</v>
      </c>
      <c r="C6" s="5">
        <v>2.80036096E8</v>
      </c>
      <c r="D6" s="5">
        <v>-3.9036096E7</v>
      </c>
      <c r="E6" s="5">
        <v>1.0E7</v>
      </c>
      <c r="F6" s="4">
        <v>2025.0</v>
      </c>
    </row>
    <row r="7">
      <c r="A7" s="3" t="s">
        <v>15</v>
      </c>
      <c r="B7" s="4" t="s">
        <v>16</v>
      </c>
      <c r="C7" s="5">
        <v>2.73108464E8</v>
      </c>
      <c r="D7" s="5">
        <v>-3.2108464E7</v>
      </c>
      <c r="E7" s="5">
        <v>1.0E7</v>
      </c>
      <c r="F7" s="4">
        <v>2025.0</v>
      </c>
    </row>
    <row r="8">
      <c r="A8" s="3" t="s">
        <v>17</v>
      </c>
      <c r="B8" s="4" t="s">
        <v>18</v>
      </c>
      <c r="C8" s="5">
        <v>2.45685904E8</v>
      </c>
      <c r="D8" s="5">
        <v>-4685904.0</v>
      </c>
      <c r="E8" s="5">
        <v>937181.0</v>
      </c>
      <c r="F8" s="4">
        <v>2025.0</v>
      </c>
    </row>
    <row r="9">
      <c r="A9" s="3" t="s">
        <v>19</v>
      </c>
      <c r="B9" s="4" t="s">
        <v>20</v>
      </c>
      <c r="C9" s="5">
        <v>2.44685373E8</v>
      </c>
      <c r="D9" s="5">
        <v>-3685373.0</v>
      </c>
      <c r="E9" s="5">
        <v>1105612.0</v>
      </c>
      <c r="F9" s="4">
        <v>2025.0</v>
      </c>
    </row>
    <row r="10">
      <c r="A10" s="3" t="s">
        <v>21</v>
      </c>
      <c r="B10" s="4" t="s">
        <v>22</v>
      </c>
      <c r="C10" s="5">
        <v>2.39418828E8</v>
      </c>
      <c r="D10" s="5">
        <v>1581172.0</v>
      </c>
      <c r="E10" s="5" t="s">
        <v>23</v>
      </c>
      <c r="F10" s="4">
        <v>2025.0</v>
      </c>
    </row>
    <row r="11">
      <c r="A11" s="3" t="s">
        <v>24</v>
      </c>
      <c r="B11" s="4" t="s">
        <v>25</v>
      </c>
      <c r="C11" s="5">
        <v>2.37534306E8</v>
      </c>
      <c r="D11" s="5">
        <v>3465694.0</v>
      </c>
      <c r="E11" s="5" t="s">
        <v>23</v>
      </c>
      <c r="F11" s="4">
        <v>2025.0</v>
      </c>
    </row>
    <row r="12">
      <c r="A12" s="3" t="s">
        <v>26</v>
      </c>
      <c r="B12" s="4" t="s">
        <v>27</v>
      </c>
      <c r="C12" s="5">
        <v>2.27017252E8</v>
      </c>
      <c r="D12" s="5">
        <v>1.3982748E7</v>
      </c>
      <c r="E12" s="5" t="s">
        <v>23</v>
      </c>
      <c r="F12" s="4">
        <v>2025.0</v>
      </c>
    </row>
    <row r="13">
      <c r="A13" s="3" t="s">
        <v>28</v>
      </c>
      <c r="B13" s="4" t="s">
        <v>29</v>
      </c>
      <c r="C13" s="5">
        <v>2.2009421E8</v>
      </c>
      <c r="D13" s="5">
        <v>2.090579E7</v>
      </c>
      <c r="E13" s="5" t="s">
        <v>23</v>
      </c>
      <c r="F13" s="4">
        <v>2025.0</v>
      </c>
    </row>
    <row r="14">
      <c r="A14" s="3" t="s">
        <v>30</v>
      </c>
      <c r="B14" s="4" t="s">
        <v>22</v>
      </c>
      <c r="C14" s="5">
        <v>2.17982568E8</v>
      </c>
      <c r="D14" s="5">
        <v>2.3017432E7</v>
      </c>
      <c r="E14" s="5" t="s">
        <v>23</v>
      </c>
      <c r="F14" s="4">
        <v>2025.0</v>
      </c>
    </row>
    <row r="15">
      <c r="A15" s="3" t="s">
        <v>31</v>
      </c>
      <c r="B15" s="4" t="s">
        <v>32</v>
      </c>
      <c r="C15" s="5">
        <v>2.11450764E8</v>
      </c>
      <c r="D15" s="5">
        <v>2.9549236E7</v>
      </c>
      <c r="E15" s="5" t="s">
        <v>23</v>
      </c>
      <c r="F15" s="4">
        <v>2025.0</v>
      </c>
    </row>
    <row r="16">
      <c r="A16" s="3" t="s">
        <v>33</v>
      </c>
      <c r="B16" s="4" t="s">
        <v>16</v>
      </c>
      <c r="C16" s="5">
        <v>1.90939946E8</v>
      </c>
      <c r="D16" s="5">
        <v>5.0060054E7</v>
      </c>
      <c r="E16" s="5" t="s">
        <v>23</v>
      </c>
      <c r="F16" s="4">
        <v>2025.0</v>
      </c>
    </row>
    <row r="17">
      <c r="A17" s="3" t="s">
        <v>34</v>
      </c>
      <c r="B17" s="4" t="s">
        <v>35</v>
      </c>
      <c r="C17" s="5">
        <v>1.7590471E8</v>
      </c>
      <c r="D17" s="5">
        <v>6.509529E7</v>
      </c>
      <c r="E17" s="5" t="s">
        <v>23</v>
      </c>
      <c r="F17" s="4">
        <v>2025.0</v>
      </c>
    </row>
    <row r="18">
      <c r="A18" s="3" t="s">
        <v>36</v>
      </c>
      <c r="B18" s="4" t="s">
        <v>37</v>
      </c>
      <c r="C18" s="5">
        <v>1.74333472E8</v>
      </c>
      <c r="D18" s="5">
        <v>6.6666528E7</v>
      </c>
      <c r="E18" s="5" t="s">
        <v>23</v>
      </c>
      <c r="F18" s="4">
        <v>2025.0</v>
      </c>
    </row>
    <row r="19">
      <c r="A19" s="3" t="s">
        <v>38</v>
      </c>
      <c r="B19" s="4" t="s">
        <v>20</v>
      </c>
      <c r="C19" s="5">
        <v>1.68688606E8</v>
      </c>
      <c r="D19" s="5">
        <v>7.2311394E7</v>
      </c>
      <c r="E19" s="5" t="s">
        <v>23</v>
      </c>
      <c r="F19" s="4">
        <v>2025.0</v>
      </c>
    </row>
    <row r="20">
      <c r="A20" s="3" t="s">
        <v>39</v>
      </c>
      <c r="B20" s="4" t="s">
        <v>40</v>
      </c>
      <c r="C20" s="5">
        <v>1.56648581E8</v>
      </c>
      <c r="D20" s="5">
        <v>8.4351419E7</v>
      </c>
      <c r="E20" s="5" t="s">
        <v>23</v>
      </c>
      <c r="F20" s="4">
        <v>2025.0</v>
      </c>
    </row>
    <row r="21" ht="15.75" customHeight="1">
      <c r="A21" s="3" t="s">
        <v>41</v>
      </c>
      <c r="B21" s="4" t="s">
        <v>42</v>
      </c>
      <c r="C21" s="5">
        <v>1.4565624E8</v>
      </c>
      <c r="D21" s="5">
        <v>9.534376E7</v>
      </c>
      <c r="E21" s="5" t="s">
        <v>23</v>
      </c>
      <c r="F21" s="4">
        <v>2025.0</v>
      </c>
    </row>
    <row r="22" ht="15.75" customHeight="1">
      <c r="A22" s="3" t="s">
        <v>43</v>
      </c>
      <c r="B22" s="4" t="s">
        <v>44</v>
      </c>
      <c r="C22" s="5">
        <v>1.45349596E8</v>
      </c>
      <c r="D22" s="5">
        <v>9.5650404E7</v>
      </c>
      <c r="E22" s="5" t="s">
        <v>23</v>
      </c>
      <c r="F22" s="4">
        <v>2025.0</v>
      </c>
    </row>
    <row r="23" ht="15.75" customHeight="1">
      <c r="A23" s="3" t="s">
        <v>45</v>
      </c>
      <c r="B23" s="4" t="s">
        <v>9</v>
      </c>
      <c r="C23" s="5">
        <v>1.40867693E8</v>
      </c>
      <c r="D23" s="5">
        <v>1.00132307E8</v>
      </c>
      <c r="E23" s="5" t="s">
        <v>23</v>
      </c>
      <c r="F23" s="4">
        <v>2025.0</v>
      </c>
    </row>
    <row r="24" ht="15.75" customHeight="1">
      <c r="A24" s="3" t="s">
        <v>46</v>
      </c>
      <c r="B24" s="4" t="s">
        <v>47</v>
      </c>
      <c r="C24" s="5">
        <v>1.39980224E8</v>
      </c>
      <c r="D24" s="5">
        <v>1.01019776E8</v>
      </c>
      <c r="E24" s="5" t="s">
        <v>23</v>
      </c>
      <c r="F24" s="4">
        <v>2025.0</v>
      </c>
    </row>
    <row r="25" ht="15.75" customHeight="1">
      <c r="A25" s="3" t="s">
        <v>48</v>
      </c>
      <c r="B25" s="4" t="s">
        <v>49</v>
      </c>
      <c r="C25" s="5">
        <v>1.35389956E8</v>
      </c>
      <c r="D25" s="5">
        <v>1.05610044E8</v>
      </c>
      <c r="E25" s="5" t="s">
        <v>23</v>
      </c>
      <c r="F25" s="4">
        <v>2025.0</v>
      </c>
    </row>
    <row r="26" ht="15.75" customHeight="1">
      <c r="A26" s="3" t="s">
        <v>50</v>
      </c>
      <c r="B26" s="4" t="s">
        <v>51</v>
      </c>
      <c r="C26" s="5">
        <v>1.25925469E8</v>
      </c>
      <c r="D26" s="5">
        <v>1.15074531E8</v>
      </c>
      <c r="E26" s="5" t="s">
        <v>23</v>
      </c>
      <c r="F26" s="4">
        <v>2025.0</v>
      </c>
    </row>
    <row r="27" ht="15.75" customHeight="1">
      <c r="A27" s="6" t="s">
        <v>52</v>
      </c>
      <c r="B27" s="4" t="s">
        <v>25</v>
      </c>
      <c r="C27" s="5">
        <v>1.13521158E8</v>
      </c>
      <c r="D27" s="5">
        <v>1.27478842E8</v>
      </c>
      <c r="E27" s="5" t="s">
        <v>23</v>
      </c>
      <c r="F27" s="4">
        <v>2025.0</v>
      </c>
    </row>
    <row r="28" ht="15.75" customHeight="1">
      <c r="A28" s="3" t="s">
        <v>53</v>
      </c>
      <c r="B28" s="4" t="s">
        <v>54</v>
      </c>
      <c r="C28" s="5">
        <v>1.0542223E8</v>
      </c>
      <c r="D28" s="5">
        <v>1.3557777E8</v>
      </c>
      <c r="E28" s="5" t="s">
        <v>23</v>
      </c>
      <c r="F28" s="4">
        <v>2025.0</v>
      </c>
    </row>
    <row r="29" ht="15.75" customHeight="1">
      <c r="A29" s="3" t="s">
        <v>55</v>
      </c>
      <c r="B29" s="4" t="s">
        <v>56</v>
      </c>
      <c r="C29" s="5">
        <v>9.7606964E7</v>
      </c>
      <c r="D29" s="5">
        <v>1.43393036E8</v>
      </c>
      <c r="E29" s="5" t="s">
        <v>23</v>
      </c>
      <c r="F29" s="4">
        <v>2025.0</v>
      </c>
    </row>
    <row r="30" ht="15.75" customHeight="1">
      <c r="A30" s="3" t="s">
        <v>57</v>
      </c>
      <c r="B30" s="4" t="s">
        <v>58</v>
      </c>
      <c r="C30" s="5">
        <v>9.0283766E7</v>
      </c>
      <c r="D30" s="5">
        <v>1.50716234E8</v>
      </c>
      <c r="E30" s="5" t="s">
        <v>23</v>
      </c>
      <c r="F30" s="4">
        <v>2025.0</v>
      </c>
    </row>
    <row r="31" ht="15.75" customHeight="1">
      <c r="A31" s="3" t="s">
        <v>59</v>
      </c>
      <c r="B31" s="4" t="s">
        <v>60</v>
      </c>
      <c r="C31" s="5">
        <v>8.5266547E7</v>
      </c>
      <c r="D31" s="5">
        <v>1.55733453E8</v>
      </c>
      <c r="E31" s="5" t="s">
        <v>23</v>
      </c>
      <c r="F31" s="4">
        <v>2025.0</v>
      </c>
    </row>
    <row r="32" ht="15.75" customHeight="1">
      <c r="A32" s="3" t="s">
        <v>6</v>
      </c>
      <c r="B32" s="4" t="s">
        <v>61</v>
      </c>
      <c r="C32" s="5">
        <v>3.5301536E8</v>
      </c>
      <c r="D32" s="5">
        <f>237000000 - 'MLB Teams Payroll'!$C32</f>
        <v>-116015360</v>
      </c>
      <c r="E32" s="5">
        <v>1.03016896E8</v>
      </c>
      <c r="F32" s="4">
        <v>2024.0</v>
      </c>
    </row>
    <row r="33" ht="15.75" customHeight="1">
      <c r="A33" s="3" t="s">
        <v>8</v>
      </c>
      <c r="B33" s="4" t="s">
        <v>18</v>
      </c>
      <c r="C33" s="5">
        <v>3.47650554E8</v>
      </c>
      <c r="D33" s="5">
        <f>237000000 - 'MLB Teams Payroll'!$C33</f>
        <v>-110650554</v>
      </c>
      <c r="E33" s="5">
        <v>9.7115609E7</v>
      </c>
      <c r="F33" s="4">
        <v>2024.0</v>
      </c>
    </row>
    <row r="34" ht="15.75" customHeight="1">
      <c r="A34" s="3" t="s">
        <v>10</v>
      </c>
      <c r="B34" s="4" t="s">
        <v>11</v>
      </c>
      <c r="C34" s="5">
        <v>3.16192828E8</v>
      </c>
      <c r="D34" s="5">
        <f>237000000 - 'MLB Teams Payroll'!$C34</f>
        <v>-79192828</v>
      </c>
      <c r="E34" s="5">
        <v>6.2512111E7</v>
      </c>
      <c r="F34" s="4">
        <v>2024.0</v>
      </c>
    </row>
    <row r="35" ht="15.75" customHeight="1">
      <c r="A35" s="3" t="s">
        <v>24</v>
      </c>
      <c r="B35" s="4" t="s">
        <v>18</v>
      </c>
      <c r="C35" s="5">
        <v>2.76144038E8</v>
      </c>
      <c r="D35" s="5">
        <f>237000000 - 'MLB Teams Payroll'!$C35</f>
        <v>-39144038</v>
      </c>
      <c r="E35" s="5">
        <v>1.4026496E7</v>
      </c>
      <c r="F35" s="4">
        <v>2024.0</v>
      </c>
    </row>
    <row r="36" ht="15.75" customHeight="1">
      <c r="A36" s="3" t="s">
        <v>21</v>
      </c>
      <c r="B36" s="4" t="s">
        <v>40</v>
      </c>
      <c r="C36" s="5">
        <v>2.68445491E8</v>
      </c>
      <c r="D36" s="5">
        <f>237000000 - 'MLB Teams Payroll'!$C36</f>
        <v>-31445491</v>
      </c>
      <c r="E36" s="5">
        <v>1.0807106E7</v>
      </c>
      <c r="F36" s="4">
        <v>2024.0</v>
      </c>
    </row>
    <row r="37" ht="15.75" customHeight="1">
      <c r="A37" s="3" t="s">
        <v>19</v>
      </c>
      <c r="B37" s="4" t="s">
        <v>62</v>
      </c>
      <c r="C37" s="5">
        <v>2.64759503E8</v>
      </c>
      <c r="D37" s="5">
        <f>237000000 - 'MLB Teams Payroll'!$C37</f>
        <v>-27759503</v>
      </c>
      <c r="E37" s="5">
        <v>6483041.0</v>
      </c>
      <c r="F37" s="4">
        <v>2024.0</v>
      </c>
    </row>
    <row r="38" ht="15.75" customHeight="1">
      <c r="A38" s="3" t="s">
        <v>12</v>
      </c>
      <c r="B38" s="4" t="s">
        <v>63</v>
      </c>
      <c r="C38" s="5">
        <v>2.64314134E8</v>
      </c>
      <c r="D38" s="5">
        <f>237000000 - 'MLB Teams Payroll'!$C38</f>
        <v>-27314134</v>
      </c>
      <c r="E38" s="5">
        <v>1.4351954E7</v>
      </c>
      <c r="F38" s="4">
        <v>2024.0</v>
      </c>
    </row>
    <row r="39" ht="15.75" customHeight="1">
      <c r="A39" s="3" t="s">
        <v>30</v>
      </c>
      <c r="B39" s="4" t="s">
        <v>32</v>
      </c>
      <c r="C39" s="5">
        <v>2.49108939E8</v>
      </c>
      <c r="D39" s="5">
        <f>237000000 - 'MLB Teams Payroll'!$C39</f>
        <v>-12108939</v>
      </c>
      <c r="E39" s="5">
        <v>2421788.0</v>
      </c>
      <c r="F39" s="4">
        <v>2024.0</v>
      </c>
    </row>
    <row r="40" ht="15.75" customHeight="1">
      <c r="A40" s="3" t="s">
        <v>26</v>
      </c>
      <c r="B40" s="4" t="s">
        <v>9</v>
      </c>
      <c r="C40" s="5">
        <v>2.39851546E8</v>
      </c>
      <c r="D40" s="5">
        <f>237000000 - 'MLB Teams Payroll'!$C40</f>
        <v>-2851546</v>
      </c>
      <c r="E40" s="5">
        <v>570309.0</v>
      </c>
      <c r="F40" s="4">
        <v>2024.0</v>
      </c>
    </row>
    <row r="41" ht="15.75" customHeight="1">
      <c r="A41" s="3" t="s">
        <v>14</v>
      </c>
      <c r="B41" s="4" t="s">
        <v>64</v>
      </c>
      <c r="C41" s="5">
        <v>2.33920561E8</v>
      </c>
      <c r="D41" s="5">
        <f>237000000 - 'MLB Teams Payroll'!$C41</f>
        <v>3079439</v>
      </c>
      <c r="E41" s="5" t="s">
        <v>23</v>
      </c>
      <c r="F41" s="4">
        <v>2024.0</v>
      </c>
    </row>
    <row r="42" ht="15.75" customHeight="1">
      <c r="A42" s="3" t="s">
        <v>15</v>
      </c>
      <c r="B42" s="4" t="s">
        <v>7</v>
      </c>
      <c r="C42" s="5">
        <v>2.27767386E8</v>
      </c>
      <c r="D42" s="5">
        <f>237000000 - 'MLB Teams Payroll'!$C42</f>
        <v>9232614</v>
      </c>
      <c r="E42" s="5" t="s">
        <v>23</v>
      </c>
      <c r="F42" s="4">
        <v>2024.0</v>
      </c>
    </row>
    <row r="43" ht="15.75" customHeight="1">
      <c r="A43" s="3" t="s">
        <v>17</v>
      </c>
      <c r="B43" s="4" t="s">
        <v>22</v>
      </c>
      <c r="C43" s="5">
        <v>2.26128399E8</v>
      </c>
      <c r="D43" s="5">
        <f>237000000 - 'MLB Teams Payroll'!$C43</f>
        <v>10871601</v>
      </c>
      <c r="E43" s="5" t="s">
        <v>23</v>
      </c>
      <c r="F43" s="4">
        <v>2024.0</v>
      </c>
    </row>
    <row r="44" ht="15.75" customHeight="1">
      <c r="A44" s="3" t="s">
        <v>31</v>
      </c>
      <c r="B44" s="4" t="s">
        <v>18</v>
      </c>
      <c r="C44" s="5">
        <v>2.23742984E8</v>
      </c>
      <c r="D44" s="5">
        <f>237000000 - 'MLB Teams Payroll'!$C44</f>
        <v>13257016</v>
      </c>
      <c r="E44" s="5" t="s">
        <v>23</v>
      </c>
      <c r="F44" s="4">
        <v>2024.0</v>
      </c>
    </row>
    <row r="45" ht="15.75" customHeight="1">
      <c r="A45" s="3" t="s">
        <v>39</v>
      </c>
      <c r="B45" s="4" t="s">
        <v>9</v>
      </c>
      <c r="C45" s="5">
        <v>2.07746783E8</v>
      </c>
      <c r="D45" s="5">
        <f>237000000 - 'MLB Teams Payroll'!$C45</f>
        <v>29253217</v>
      </c>
      <c r="E45" s="5" t="s">
        <v>23</v>
      </c>
      <c r="F45" s="4">
        <v>2024.0</v>
      </c>
    </row>
    <row r="46" ht="15.75" customHeight="1">
      <c r="A46" s="3" t="s">
        <v>28</v>
      </c>
      <c r="B46" s="4" t="s">
        <v>65</v>
      </c>
      <c r="C46" s="5">
        <v>1.8999764E8</v>
      </c>
      <c r="D46" s="5">
        <f>237000000 - 'MLB Teams Payroll'!$C46</f>
        <v>47002360</v>
      </c>
      <c r="E46" s="5" t="s">
        <v>23</v>
      </c>
      <c r="F46" s="4">
        <v>2024.0</v>
      </c>
    </row>
    <row r="47" ht="15.75" customHeight="1">
      <c r="A47" s="3" t="s">
        <v>43</v>
      </c>
      <c r="B47" s="4" t="s">
        <v>66</v>
      </c>
      <c r="C47" s="5">
        <v>1.71035859E8</v>
      </c>
      <c r="D47" s="5">
        <f>237000000 - 'MLB Teams Payroll'!$C47</f>
        <v>65964141</v>
      </c>
      <c r="E47" s="5" t="s">
        <v>23</v>
      </c>
      <c r="F47" s="4">
        <v>2024.0</v>
      </c>
    </row>
    <row r="48" ht="15.75" customHeight="1">
      <c r="A48" s="3" t="s">
        <v>33</v>
      </c>
      <c r="B48" s="4" t="s">
        <v>67</v>
      </c>
      <c r="C48" s="5">
        <v>1.67805639E8</v>
      </c>
      <c r="D48" s="5">
        <f>237000000 - 'MLB Teams Payroll'!$C48</f>
        <v>69194361</v>
      </c>
      <c r="E48" s="5" t="s">
        <v>23</v>
      </c>
      <c r="F48" s="4">
        <v>2024.0</v>
      </c>
    </row>
    <row r="49" ht="15.75" customHeight="1">
      <c r="A49" s="3" t="s">
        <v>41</v>
      </c>
      <c r="B49" s="4" t="s">
        <v>7</v>
      </c>
      <c r="C49" s="5">
        <v>1.62786812E8</v>
      </c>
      <c r="D49" s="5">
        <f>237000000 - 'MLB Teams Payroll'!$C49</f>
        <v>74213188</v>
      </c>
      <c r="E49" s="5" t="s">
        <v>23</v>
      </c>
      <c r="F49" s="4">
        <v>2024.0</v>
      </c>
    </row>
    <row r="50" ht="15.75" customHeight="1">
      <c r="A50" s="3" t="s">
        <v>46</v>
      </c>
      <c r="B50" s="4" t="s">
        <v>37</v>
      </c>
      <c r="C50" s="5">
        <v>1.60175512E8</v>
      </c>
      <c r="D50" s="5">
        <f>237000000 - 'MLB Teams Payroll'!$C50</f>
        <v>76824488</v>
      </c>
      <c r="E50" s="5" t="s">
        <v>23</v>
      </c>
      <c r="F50" s="4">
        <v>2024.0</v>
      </c>
    </row>
    <row r="51" ht="15.75" customHeight="1">
      <c r="A51" s="3" t="s">
        <v>36</v>
      </c>
      <c r="B51" s="4" t="s">
        <v>68</v>
      </c>
      <c r="C51" s="5">
        <v>1.60062995E8</v>
      </c>
      <c r="D51" s="5">
        <f>237000000 - 'MLB Teams Payroll'!$C51</f>
        <v>76937005</v>
      </c>
      <c r="E51" s="5" t="s">
        <v>23</v>
      </c>
      <c r="F51" s="4">
        <v>2024.0</v>
      </c>
    </row>
    <row r="52" ht="15.75" customHeight="1">
      <c r="A52" s="3" t="s">
        <v>50</v>
      </c>
      <c r="B52" s="4" t="s">
        <v>69</v>
      </c>
      <c r="C52" s="5">
        <v>1.43865037E8</v>
      </c>
      <c r="D52" s="5">
        <f>237000000 - 'MLB Teams Payroll'!$C52</f>
        <v>93134963</v>
      </c>
      <c r="E52" s="5" t="s">
        <v>23</v>
      </c>
      <c r="F52" s="4">
        <v>2024.0</v>
      </c>
    </row>
    <row r="53" ht="15.75" customHeight="1">
      <c r="A53" s="3" t="s">
        <v>48</v>
      </c>
      <c r="B53" s="4" t="s">
        <v>54</v>
      </c>
      <c r="C53" s="5">
        <v>1.40562315E8</v>
      </c>
      <c r="D53" s="5">
        <f>237000000 - 'MLB Teams Payroll'!$C53</f>
        <v>96437685</v>
      </c>
      <c r="E53" s="5" t="s">
        <v>23</v>
      </c>
      <c r="F53" s="4">
        <v>2024.0</v>
      </c>
    </row>
    <row r="54" ht="15.75" customHeight="1">
      <c r="A54" s="3" t="s">
        <v>57</v>
      </c>
      <c r="B54" s="4" t="s">
        <v>70</v>
      </c>
      <c r="C54" s="5">
        <v>1.34552993E8</v>
      </c>
      <c r="D54" s="5">
        <f>237000000 - 'MLB Teams Payroll'!$C54</f>
        <v>102447007</v>
      </c>
      <c r="E54" s="5" t="s">
        <v>23</v>
      </c>
      <c r="F54" s="4">
        <v>2024.0</v>
      </c>
    </row>
    <row r="55" ht="15.75" customHeight="1">
      <c r="A55" s="3" t="s">
        <v>34</v>
      </c>
      <c r="B55" s="4" t="s">
        <v>71</v>
      </c>
      <c r="C55" s="5">
        <v>1.26766106E8</v>
      </c>
      <c r="D55" s="5">
        <f>237000000 - 'MLB Teams Payroll'!$C55</f>
        <v>110233894</v>
      </c>
      <c r="E55" s="5" t="s">
        <v>23</v>
      </c>
      <c r="F55" s="4">
        <v>2024.0</v>
      </c>
    </row>
    <row r="56" ht="15.75" customHeight="1">
      <c r="A56" s="3" t="s">
        <v>45</v>
      </c>
      <c r="B56" s="4" t="s">
        <v>56</v>
      </c>
      <c r="C56" s="5">
        <v>1.23070091E8</v>
      </c>
      <c r="D56" s="5">
        <f>237000000 - 'MLB Teams Payroll'!$C56</f>
        <v>113929909</v>
      </c>
      <c r="E56" s="5" t="s">
        <v>23</v>
      </c>
      <c r="F56" s="4">
        <v>2024.0</v>
      </c>
    </row>
    <row r="57" ht="15.75" customHeight="1">
      <c r="A57" s="3" t="s">
        <v>53</v>
      </c>
      <c r="B57" s="4" t="s">
        <v>25</v>
      </c>
      <c r="C57" s="5">
        <v>1.22942572E8</v>
      </c>
      <c r="D57" s="5">
        <f>237000000 - 'MLB Teams Payroll'!$C57</f>
        <v>114057428</v>
      </c>
      <c r="E57" s="5" t="s">
        <v>23</v>
      </c>
      <c r="F57" s="4">
        <v>2024.0</v>
      </c>
    </row>
    <row r="58" ht="15.75" customHeight="1">
      <c r="A58" s="3" t="s">
        <v>59</v>
      </c>
      <c r="B58" s="4" t="s">
        <v>72</v>
      </c>
      <c r="C58" s="5">
        <v>1.21657705E8</v>
      </c>
      <c r="D58" s="5">
        <f>237000000 - 'MLB Teams Payroll'!$C58</f>
        <v>115342295</v>
      </c>
      <c r="E58" s="5" t="s">
        <v>23</v>
      </c>
      <c r="F58" s="4">
        <v>2024.0</v>
      </c>
    </row>
    <row r="59" ht="15.75" customHeight="1">
      <c r="A59" s="3" t="s">
        <v>38</v>
      </c>
      <c r="B59" s="4" t="s">
        <v>68</v>
      </c>
      <c r="C59" s="5">
        <v>1.09511305E8</v>
      </c>
      <c r="D59" s="5">
        <f>237000000 - 'MLB Teams Payroll'!$C59</f>
        <v>127488695</v>
      </c>
      <c r="E59" s="5" t="s">
        <v>23</v>
      </c>
      <c r="F59" s="4">
        <v>2024.0</v>
      </c>
    </row>
    <row r="60" ht="15.75" customHeight="1">
      <c r="A60" s="3" t="s">
        <v>55</v>
      </c>
      <c r="B60" s="4" t="s">
        <v>32</v>
      </c>
      <c r="C60" s="5">
        <v>1.06590023E8</v>
      </c>
      <c r="D60" s="5">
        <f>237000000 - 'MLB Teams Payroll'!$C60</f>
        <v>130409977</v>
      </c>
      <c r="E60" s="5" t="s">
        <v>23</v>
      </c>
      <c r="F60" s="4">
        <v>2024.0</v>
      </c>
    </row>
    <row r="61" ht="15.75" customHeight="1">
      <c r="A61" s="7" t="s">
        <v>73</v>
      </c>
      <c r="B61" s="4" t="s">
        <v>74</v>
      </c>
      <c r="C61" s="5">
        <v>8.3912541E7</v>
      </c>
      <c r="D61" s="5">
        <f>237000000 - 'MLB Teams Payroll'!$C61</f>
        <v>153087459</v>
      </c>
      <c r="E61" s="5" t="s">
        <v>23</v>
      </c>
      <c r="F61" s="4">
        <v>2024.0</v>
      </c>
    </row>
    <row r="62" ht="15.75" customHeight="1">
      <c r="A62" s="3" t="s">
        <v>8</v>
      </c>
      <c r="B62" s="4" t="s">
        <v>35</v>
      </c>
      <c r="C62" s="5">
        <v>3.74676003E8</v>
      </c>
      <c r="D62" s="5">
        <f>233000000-'MLB Teams Payroll'!$C62</f>
        <v>-141676003</v>
      </c>
      <c r="E62" s="5">
        <v>1.00781932E8</v>
      </c>
      <c r="F62" s="4">
        <v>2023.0</v>
      </c>
    </row>
    <row r="63" ht="15.75" customHeight="1">
      <c r="A63" s="3" t="s">
        <v>10</v>
      </c>
      <c r="B63" s="4" t="s">
        <v>37</v>
      </c>
      <c r="C63" s="5">
        <v>2.96332629E8</v>
      </c>
      <c r="D63" s="5">
        <f>233000000-'MLB Teams Payroll'!$C63</f>
        <v>-63332629</v>
      </c>
      <c r="E63" s="5">
        <v>3.2399366E7</v>
      </c>
      <c r="F63" s="4">
        <v>2023.0</v>
      </c>
    </row>
    <row r="64" ht="15.75" customHeight="1">
      <c r="A64" s="3" t="s">
        <v>15</v>
      </c>
      <c r="B64" s="4" t="s">
        <v>37</v>
      </c>
      <c r="C64" s="5">
        <v>2.91204162E8</v>
      </c>
      <c r="D64" s="5">
        <f>233000000-'MLB Teams Payroll'!$C64</f>
        <v>-58204162</v>
      </c>
      <c r="E64" s="5">
        <v>3.9693954E7</v>
      </c>
      <c r="F64" s="4">
        <v>2023.0</v>
      </c>
    </row>
    <row r="65" ht="15.75" customHeight="1">
      <c r="A65" s="3" t="s">
        <v>6</v>
      </c>
      <c r="B65" s="4" t="s">
        <v>75</v>
      </c>
      <c r="C65" s="5">
        <v>2.68198867E8</v>
      </c>
      <c r="D65" s="5">
        <f>233000000-'MLB Teams Payroll'!$C65</f>
        <v>-35198867</v>
      </c>
      <c r="E65" s="5">
        <v>1.9423297E7</v>
      </c>
      <c r="F65" s="4">
        <v>2023.0</v>
      </c>
    </row>
    <row r="66" ht="15.75" customHeight="1">
      <c r="A66" s="3" t="s">
        <v>14</v>
      </c>
      <c r="B66" s="4" t="s">
        <v>18</v>
      </c>
      <c r="C66" s="5">
        <v>2.57798413E8</v>
      </c>
      <c r="D66" s="5">
        <f>233000000-'MLB Teams Payroll'!$C66</f>
        <v>-24798413</v>
      </c>
      <c r="E66" s="5">
        <v>5535492.0</v>
      </c>
      <c r="F66" s="4">
        <v>2023.0</v>
      </c>
    </row>
    <row r="67" ht="15.75" customHeight="1">
      <c r="A67" s="3" t="s">
        <v>12</v>
      </c>
      <c r="B67" s="4" t="s">
        <v>16</v>
      </c>
      <c r="C67" s="5">
        <v>2.55327012E8</v>
      </c>
      <c r="D67" s="5">
        <f>233000000-'MLB Teams Payroll'!$C67</f>
        <v>-22327012</v>
      </c>
      <c r="E67" s="5">
        <v>6977345.0</v>
      </c>
      <c r="F67" s="4">
        <v>2023.0</v>
      </c>
    </row>
    <row r="68" ht="15.75" customHeight="1">
      <c r="A68" s="3" t="s">
        <v>24</v>
      </c>
      <c r="B68" s="4" t="s">
        <v>76</v>
      </c>
      <c r="C68" s="5">
        <v>2.48797681E8</v>
      </c>
      <c r="D68" s="5">
        <f>233000000-'MLB Teams Payroll'!$C68</f>
        <v>-15797681</v>
      </c>
      <c r="E68" s="5">
        <v>3159536.0</v>
      </c>
      <c r="F68" s="4">
        <v>2023.0</v>
      </c>
    </row>
    <row r="69" ht="15.75" customHeight="1">
      <c r="A69" s="3" t="s">
        <v>21</v>
      </c>
      <c r="B69" s="4" t="s">
        <v>16</v>
      </c>
      <c r="C69" s="5">
        <v>2.42135712E8</v>
      </c>
      <c r="D69" s="5">
        <f>233000000-'MLB Teams Payroll'!$C69</f>
        <v>-9135712</v>
      </c>
      <c r="E69" s="5">
        <v>1827142.0</v>
      </c>
      <c r="F69" s="4">
        <v>2023.0</v>
      </c>
    </row>
    <row r="70" ht="15.75" customHeight="1">
      <c r="A70" s="3" t="s">
        <v>28</v>
      </c>
      <c r="B70" s="4" t="s">
        <v>77</v>
      </c>
      <c r="C70" s="5">
        <v>2.32971346E8</v>
      </c>
      <c r="D70" s="5">
        <f>233000000-'MLB Teams Payroll'!$C70</f>
        <v>28654</v>
      </c>
      <c r="E70" s="5" t="s">
        <v>23</v>
      </c>
      <c r="F70" s="4">
        <v>2023.0</v>
      </c>
    </row>
    <row r="71" ht="15.75" customHeight="1">
      <c r="A71" s="3" t="s">
        <v>26</v>
      </c>
      <c r="B71" s="4" t="s">
        <v>9</v>
      </c>
      <c r="C71" s="5">
        <v>2.30302842E8</v>
      </c>
      <c r="D71" s="5">
        <f>233000000-'MLB Teams Payroll'!$C71</f>
        <v>2697158</v>
      </c>
      <c r="E71" s="5" t="s">
        <v>23</v>
      </c>
      <c r="F71" s="4">
        <v>2023.0</v>
      </c>
    </row>
    <row r="72" ht="15.75" customHeight="1">
      <c r="A72" s="3" t="s">
        <v>19</v>
      </c>
      <c r="B72" s="4" t="s">
        <v>16</v>
      </c>
      <c r="C72" s="5">
        <v>2.26272705E8</v>
      </c>
      <c r="D72" s="5">
        <f>233000000-'MLB Teams Payroll'!$C72</f>
        <v>6727295</v>
      </c>
      <c r="E72" s="5" t="s">
        <v>23</v>
      </c>
      <c r="F72" s="4">
        <v>2023.0</v>
      </c>
    </row>
    <row r="73" ht="15.75" customHeight="1">
      <c r="A73" s="3" t="s">
        <v>17</v>
      </c>
      <c r="B73" s="4" t="s">
        <v>40</v>
      </c>
      <c r="C73" s="5">
        <v>2.2576732E8</v>
      </c>
      <c r="D73" s="5">
        <f>233000000-'MLB Teams Payroll'!$C73</f>
        <v>7232680</v>
      </c>
      <c r="E73" s="5" t="s">
        <v>23</v>
      </c>
      <c r="F73" s="4">
        <v>2023.0</v>
      </c>
    </row>
    <row r="74" ht="15.75" customHeight="1">
      <c r="A74" s="3" t="s">
        <v>30</v>
      </c>
      <c r="B74" s="4" t="s">
        <v>60</v>
      </c>
      <c r="C74" s="5">
        <v>2.18452983E8</v>
      </c>
      <c r="D74" s="5">
        <f>233000000-'MLB Teams Payroll'!$C74</f>
        <v>14547017</v>
      </c>
      <c r="E74" s="5" t="s">
        <v>23</v>
      </c>
      <c r="F74" s="4">
        <v>2023.0</v>
      </c>
    </row>
    <row r="75" ht="15.75" customHeight="1">
      <c r="A75" s="3" t="s">
        <v>57</v>
      </c>
      <c r="B75" s="4" t="s">
        <v>66</v>
      </c>
      <c r="C75" s="5">
        <v>2.00575358E8</v>
      </c>
      <c r="D75" s="5">
        <f>233000000-'MLB Teams Payroll'!$C75</f>
        <v>32424642</v>
      </c>
      <c r="E75" s="5" t="s">
        <v>23</v>
      </c>
      <c r="F75" s="4">
        <v>2023.0</v>
      </c>
    </row>
    <row r="76" ht="15.75" customHeight="1">
      <c r="A76" s="3" t="s">
        <v>43</v>
      </c>
      <c r="B76" s="4" t="s">
        <v>78</v>
      </c>
      <c r="C76" s="5">
        <v>1.94481951E8</v>
      </c>
      <c r="D76" s="5">
        <f>233000000-'MLB Teams Payroll'!$C76</f>
        <v>38518049</v>
      </c>
      <c r="E76" s="5" t="s">
        <v>23</v>
      </c>
      <c r="F76" s="4">
        <v>2023.0</v>
      </c>
    </row>
    <row r="77" ht="15.75" customHeight="1">
      <c r="A77" s="3" t="s">
        <v>39</v>
      </c>
      <c r="B77" s="4" t="s">
        <v>54</v>
      </c>
      <c r="C77" s="5">
        <v>1.8646565E8</v>
      </c>
      <c r="D77" s="5">
        <f>233000000-'MLB Teams Payroll'!$C77</f>
        <v>46534350</v>
      </c>
      <c r="E77" s="5" t="s">
        <v>23</v>
      </c>
      <c r="F77" s="4">
        <v>2023.0</v>
      </c>
    </row>
    <row r="78" ht="15.75" customHeight="1">
      <c r="A78" s="3" t="s">
        <v>33</v>
      </c>
      <c r="B78" s="4" t="s">
        <v>51</v>
      </c>
      <c r="C78" s="5">
        <v>1.83361816E8</v>
      </c>
      <c r="D78" s="5">
        <f>233000000-'MLB Teams Payroll'!$C78</f>
        <v>49638184</v>
      </c>
      <c r="E78" s="5" t="s">
        <v>23</v>
      </c>
      <c r="F78" s="4">
        <v>2023.0</v>
      </c>
    </row>
    <row r="79" ht="15.75" customHeight="1">
      <c r="A79" s="3" t="s">
        <v>46</v>
      </c>
      <c r="B79" s="4" t="s">
        <v>20</v>
      </c>
      <c r="C79" s="5">
        <v>1.77100325E8</v>
      </c>
      <c r="D79" s="5">
        <f>233000000-'MLB Teams Payroll'!$C79</f>
        <v>55899675</v>
      </c>
      <c r="E79" s="5" t="s">
        <v>23</v>
      </c>
      <c r="F79" s="4">
        <v>2023.0</v>
      </c>
    </row>
    <row r="80" ht="15.75" customHeight="1">
      <c r="A80" s="3" t="s">
        <v>31</v>
      </c>
      <c r="B80" s="4" t="s">
        <v>79</v>
      </c>
      <c r="C80" s="5">
        <v>1.54606985E8</v>
      </c>
      <c r="D80" s="5">
        <f>233000000-'MLB Teams Payroll'!$C80</f>
        <v>78393015</v>
      </c>
      <c r="E80" s="5" t="s">
        <v>23</v>
      </c>
      <c r="F80" s="4">
        <v>2023.0</v>
      </c>
    </row>
    <row r="81" ht="15.75" customHeight="1">
      <c r="A81" s="3" t="s">
        <v>41</v>
      </c>
      <c r="B81" s="4" t="s">
        <v>27</v>
      </c>
      <c r="C81" s="5">
        <v>1.51785069E8</v>
      </c>
      <c r="D81" s="5">
        <f>233000000-'MLB Teams Payroll'!$C81</f>
        <v>81214931</v>
      </c>
      <c r="E81" s="5" t="s">
        <v>23</v>
      </c>
      <c r="F81" s="4">
        <v>2023.0</v>
      </c>
    </row>
    <row r="82" ht="15.75" customHeight="1">
      <c r="A82" s="3" t="s">
        <v>38</v>
      </c>
      <c r="B82" s="4" t="s">
        <v>40</v>
      </c>
      <c r="C82" s="5">
        <v>1.46479739E8</v>
      </c>
      <c r="D82" s="5">
        <f>233000000-'MLB Teams Payroll'!$C82</f>
        <v>86520261</v>
      </c>
      <c r="E82" s="5" t="s">
        <v>23</v>
      </c>
      <c r="F82" s="4">
        <v>2023.0</v>
      </c>
    </row>
    <row r="83" ht="15.75" customHeight="1">
      <c r="A83" s="3" t="s">
        <v>50</v>
      </c>
      <c r="B83" s="4" t="s">
        <v>25</v>
      </c>
      <c r="C83" s="5">
        <v>1.36663802E8</v>
      </c>
      <c r="D83" s="5">
        <f>233000000-'MLB Teams Payroll'!$C83</f>
        <v>96336198</v>
      </c>
      <c r="E83" s="5" t="s">
        <v>23</v>
      </c>
      <c r="F83" s="4">
        <v>2023.0</v>
      </c>
    </row>
    <row r="84" ht="15.75" customHeight="1">
      <c r="A84" s="3" t="s">
        <v>59</v>
      </c>
      <c r="B84" s="4" t="s">
        <v>79</v>
      </c>
      <c r="C84" s="5">
        <v>1.34909166E8</v>
      </c>
      <c r="D84" s="5">
        <f>233000000-'MLB Teams Payroll'!$C84</f>
        <v>98090834</v>
      </c>
      <c r="E84" s="5" t="s">
        <v>23</v>
      </c>
      <c r="F84" s="4">
        <v>2023.0</v>
      </c>
    </row>
    <row r="85" ht="15.75" customHeight="1">
      <c r="A85" s="3" t="s">
        <v>48</v>
      </c>
      <c r="B85" s="4" t="s">
        <v>54</v>
      </c>
      <c r="C85" s="5">
        <v>1.34648242E8</v>
      </c>
      <c r="D85" s="5">
        <f>233000000-'MLB Teams Payroll'!$C85</f>
        <v>98351758</v>
      </c>
      <c r="E85" s="5" t="s">
        <v>23</v>
      </c>
      <c r="F85" s="4">
        <v>2023.0</v>
      </c>
    </row>
    <row r="86" ht="15.75" customHeight="1">
      <c r="A86" s="3" t="s">
        <v>55</v>
      </c>
      <c r="B86" s="4" t="s">
        <v>80</v>
      </c>
      <c r="C86" s="5">
        <v>1.31842751E8</v>
      </c>
      <c r="D86" s="5">
        <f>233000000-'MLB Teams Payroll'!$C86</f>
        <v>101157249</v>
      </c>
      <c r="E86" s="5" t="s">
        <v>23</v>
      </c>
      <c r="F86" s="4">
        <v>2023.0</v>
      </c>
    </row>
    <row r="87" ht="15.75" customHeight="1">
      <c r="A87" s="3" t="s">
        <v>36</v>
      </c>
      <c r="B87" s="4" t="s">
        <v>81</v>
      </c>
      <c r="C87" s="5">
        <v>1.1943712E8</v>
      </c>
      <c r="D87" s="5">
        <f>233000000-'MLB Teams Payroll'!$C87</f>
        <v>113562880</v>
      </c>
      <c r="E87" s="5" t="s">
        <v>23</v>
      </c>
      <c r="F87" s="4">
        <v>2023.0</v>
      </c>
    </row>
    <row r="88" ht="15.75" customHeight="1">
      <c r="A88" s="3" t="s">
        <v>45</v>
      </c>
      <c r="B88" s="4" t="s">
        <v>37</v>
      </c>
      <c r="C88" s="5">
        <v>1.13029357E8</v>
      </c>
      <c r="D88" s="5">
        <f>233000000-'MLB Teams Payroll'!$C88</f>
        <v>119970643</v>
      </c>
      <c r="E88" s="5" t="s">
        <v>23</v>
      </c>
      <c r="F88" s="4">
        <v>2023.0</v>
      </c>
    </row>
    <row r="89" ht="15.75" customHeight="1">
      <c r="A89" s="3" t="s">
        <v>53</v>
      </c>
      <c r="B89" s="4" t="s">
        <v>25</v>
      </c>
      <c r="C89" s="5">
        <v>8.9774934E7</v>
      </c>
      <c r="D89" s="5">
        <f>233000000-'MLB Teams Payroll'!$C89</f>
        <v>143225066</v>
      </c>
      <c r="E89" s="5" t="s">
        <v>23</v>
      </c>
      <c r="F89" s="4">
        <v>2023.0</v>
      </c>
    </row>
    <row r="90" ht="15.75" customHeight="1">
      <c r="A90" s="3" t="s">
        <v>34</v>
      </c>
      <c r="B90" s="4" t="s">
        <v>82</v>
      </c>
      <c r="C90" s="5">
        <v>8.9408287E7</v>
      </c>
      <c r="D90" s="5">
        <f>233000000-'MLB Teams Payroll'!$C90</f>
        <v>143591713</v>
      </c>
      <c r="E90" s="5" t="s">
        <v>23</v>
      </c>
      <c r="F90" s="4">
        <v>2023.0</v>
      </c>
    </row>
    <row r="91" ht="15.75" customHeight="1">
      <c r="A91" s="7" t="s">
        <v>73</v>
      </c>
      <c r="B91" s="4" t="s">
        <v>83</v>
      </c>
      <c r="C91" s="5">
        <v>8.1759852E7</v>
      </c>
      <c r="D91" s="5">
        <f>233000000-'MLB Teams Payroll'!$C91</f>
        <v>151240148</v>
      </c>
      <c r="E91" s="5" t="s">
        <v>23</v>
      </c>
      <c r="F91" s="4">
        <v>2023.0</v>
      </c>
    </row>
    <row r="92" ht="15.75" customHeight="1">
      <c r="A92" s="3" t="s">
        <v>8</v>
      </c>
      <c r="B92" s="4" t="s">
        <v>82</v>
      </c>
      <c r="C92" s="5">
        <v>2.99842423E8</v>
      </c>
      <c r="D92" s="5">
        <f>230000000 -'MLB Teams Payroll'!$C92</f>
        <v>-69842423</v>
      </c>
      <c r="E92" s="5">
        <v>3.0773938E7</v>
      </c>
      <c r="F92" s="4">
        <v>2022.0</v>
      </c>
    </row>
    <row r="93" ht="15.75" customHeight="1">
      <c r="A93" s="3" t="s">
        <v>6</v>
      </c>
      <c r="B93" s="4" t="s">
        <v>84</v>
      </c>
      <c r="C93" s="5">
        <v>2.93330382E8</v>
      </c>
      <c r="D93" s="5">
        <f>230000000 -'MLB Teams Payroll'!$C93</f>
        <v>-63330382</v>
      </c>
      <c r="E93" s="5">
        <v>3.2397344E7</v>
      </c>
      <c r="F93" s="4">
        <v>2022.0</v>
      </c>
    </row>
    <row r="94" ht="15.75" customHeight="1">
      <c r="A94" s="3" t="s">
        <v>10</v>
      </c>
      <c r="B94" s="4" t="s">
        <v>80</v>
      </c>
      <c r="C94" s="5">
        <v>2.67753417E8</v>
      </c>
      <c r="D94" s="5">
        <f>230000000 -'MLB Teams Payroll'!$C94</f>
        <v>-37753417</v>
      </c>
      <c r="E94" s="5">
        <v>9681093.0</v>
      </c>
      <c r="F94" s="4">
        <v>2022.0</v>
      </c>
    </row>
    <row r="95" ht="15.75" customHeight="1">
      <c r="A95" s="3" t="s">
        <v>12</v>
      </c>
      <c r="B95" s="4" t="s">
        <v>20</v>
      </c>
      <c r="C95" s="5">
        <v>2.44413284E8</v>
      </c>
      <c r="D95" s="5">
        <f>230000000 -'MLB Teams Payroll'!$C95</f>
        <v>-14413284</v>
      </c>
      <c r="E95" s="5">
        <v>2882657.0</v>
      </c>
      <c r="F95" s="4">
        <v>2022.0</v>
      </c>
    </row>
    <row r="96" ht="15.75" customHeight="1">
      <c r="A96" s="3" t="s">
        <v>17</v>
      </c>
      <c r="B96" s="4" t="s">
        <v>40</v>
      </c>
      <c r="C96" s="5">
        <v>2.36149678E8</v>
      </c>
      <c r="D96" s="5">
        <f>230000000 -'MLB Teams Payroll'!$C96</f>
        <v>-6149678</v>
      </c>
      <c r="E96" s="5">
        <v>1229936.0</v>
      </c>
      <c r="F96" s="4">
        <v>2022.0</v>
      </c>
    </row>
    <row r="97" ht="15.75" customHeight="1">
      <c r="A97" s="3" t="s">
        <v>15</v>
      </c>
      <c r="B97" s="4" t="s">
        <v>18</v>
      </c>
      <c r="C97" s="5">
        <v>2.35082125E8</v>
      </c>
      <c r="D97" s="5">
        <f>230000000 -'MLB Teams Payroll'!$C97</f>
        <v>-5082125</v>
      </c>
      <c r="E97" s="5">
        <v>1524638.0</v>
      </c>
      <c r="F97" s="4">
        <v>2022.0</v>
      </c>
    </row>
    <row r="98" ht="15.75" customHeight="1">
      <c r="A98" s="3" t="s">
        <v>57</v>
      </c>
      <c r="B98" s="4" t="s">
        <v>22</v>
      </c>
      <c r="C98" s="5">
        <v>2.156313E8</v>
      </c>
      <c r="D98" s="5">
        <f>230000000 -'MLB Teams Payroll'!$C98</f>
        <v>14368700</v>
      </c>
      <c r="E98" s="5" t="s">
        <v>23</v>
      </c>
      <c r="F98" s="4">
        <v>2022.0</v>
      </c>
    </row>
    <row r="99" ht="15.75" customHeight="1">
      <c r="A99" s="3" t="s">
        <v>24</v>
      </c>
      <c r="B99" s="4" t="s">
        <v>82</v>
      </c>
      <c r="C99" s="5">
        <v>2.14092505E8</v>
      </c>
      <c r="D99" s="5">
        <f>230000000 -'MLB Teams Payroll'!$C99</f>
        <v>15907495</v>
      </c>
      <c r="E99" s="5" t="s">
        <v>23</v>
      </c>
      <c r="F99" s="4">
        <v>2022.0</v>
      </c>
    </row>
    <row r="100" ht="15.75" customHeight="1">
      <c r="A100" s="3" t="s">
        <v>19</v>
      </c>
      <c r="B100" s="4" t="s">
        <v>85</v>
      </c>
      <c r="C100" s="5">
        <v>2.1068623E8</v>
      </c>
      <c r="D100" s="5">
        <f>230000000 -'MLB Teams Payroll'!$C100</f>
        <v>19313770</v>
      </c>
      <c r="E100" s="5" t="s">
        <v>23</v>
      </c>
      <c r="F100" s="4">
        <v>2022.0</v>
      </c>
    </row>
    <row r="101" ht="15.75" customHeight="1">
      <c r="A101" s="3" t="s">
        <v>14</v>
      </c>
      <c r="B101" s="4" t="s">
        <v>27</v>
      </c>
      <c r="C101" s="5">
        <v>1.98543787E8</v>
      </c>
      <c r="D101" s="5">
        <f>230000000 -'MLB Teams Payroll'!$C101</f>
        <v>31456213</v>
      </c>
      <c r="E101" s="5" t="s">
        <v>23</v>
      </c>
      <c r="F101" s="4">
        <v>2022.0</v>
      </c>
    </row>
    <row r="102" ht="15.75" customHeight="1">
      <c r="A102" s="3" t="s">
        <v>28</v>
      </c>
      <c r="B102" s="4" t="s">
        <v>77</v>
      </c>
      <c r="C102" s="5">
        <v>1.93269044E8</v>
      </c>
      <c r="D102" s="5">
        <f>230000000 -'MLB Teams Payroll'!$C102</f>
        <v>36730956</v>
      </c>
      <c r="E102" s="5" t="s">
        <v>23</v>
      </c>
      <c r="F102" s="4">
        <v>2022.0</v>
      </c>
    </row>
    <row r="103" ht="15.75" customHeight="1">
      <c r="A103" s="3" t="s">
        <v>26</v>
      </c>
      <c r="B103" s="4" t="s">
        <v>64</v>
      </c>
      <c r="C103" s="5">
        <v>1.80512338E8</v>
      </c>
      <c r="D103" s="5">
        <f>230000000 -'MLB Teams Payroll'!$C103</f>
        <v>49487662</v>
      </c>
      <c r="E103" s="5" t="s">
        <v>23</v>
      </c>
      <c r="F103" s="4">
        <v>2022.0</v>
      </c>
    </row>
    <row r="104" ht="15.75" customHeight="1">
      <c r="A104" s="3" t="s">
        <v>39</v>
      </c>
      <c r="B104" s="4" t="s">
        <v>7</v>
      </c>
      <c r="C104" s="5">
        <v>1.74439667E8</v>
      </c>
      <c r="D104" s="5">
        <f>230000000 -'MLB Teams Payroll'!$C104</f>
        <v>55560333</v>
      </c>
      <c r="E104" s="5" t="s">
        <v>23</v>
      </c>
      <c r="F104" s="4">
        <v>2022.0</v>
      </c>
    </row>
    <row r="105" ht="15.75" customHeight="1">
      <c r="A105" s="3" t="s">
        <v>46</v>
      </c>
      <c r="B105" s="4" t="s">
        <v>40</v>
      </c>
      <c r="C105" s="5">
        <v>1.73198565E8</v>
      </c>
      <c r="D105" s="5">
        <f>230000000 -'MLB Teams Payroll'!$C105</f>
        <v>56801435</v>
      </c>
      <c r="E105" s="5" t="s">
        <v>23</v>
      </c>
      <c r="F105" s="4">
        <v>2022.0</v>
      </c>
    </row>
    <row r="106" ht="15.75" customHeight="1">
      <c r="A106" s="3" t="s">
        <v>43</v>
      </c>
      <c r="B106" s="4" t="s">
        <v>86</v>
      </c>
      <c r="C106" s="5">
        <v>1.72251358E8</v>
      </c>
      <c r="D106" s="5">
        <f>230000000 -'MLB Teams Payroll'!$C106</f>
        <v>57748642</v>
      </c>
      <c r="E106" s="5" t="s">
        <v>23</v>
      </c>
      <c r="F106" s="4">
        <v>2022.0</v>
      </c>
    </row>
    <row r="107" ht="15.75" customHeight="1">
      <c r="A107" s="3" t="s">
        <v>30</v>
      </c>
      <c r="B107" s="4" t="s">
        <v>22</v>
      </c>
      <c r="C107" s="5">
        <v>1.71423107E8</v>
      </c>
      <c r="D107" s="5">
        <f>230000000 -'MLB Teams Payroll'!$C107</f>
        <v>58576893</v>
      </c>
      <c r="E107" s="5" t="s">
        <v>23</v>
      </c>
      <c r="F107" s="4">
        <v>2022.0</v>
      </c>
    </row>
    <row r="108" ht="15.75" customHeight="1">
      <c r="A108" s="3" t="s">
        <v>21</v>
      </c>
      <c r="B108" s="4" t="s">
        <v>86</v>
      </c>
      <c r="C108" s="5">
        <v>1.60505146E8</v>
      </c>
      <c r="D108" s="5">
        <f>230000000 -'MLB Teams Payroll'!$C108</f>
        <v>69494854</v>
      </c>
      <c r="E108" s="5" t="s">
        <v>23</v>
      </c>
      <c r="F108" s="4">
        <v>2022.0</v>
      </c>
    </row>
    <row r="109" ht="15.75" customHeight="1">
      <c r="A109" s="3" t="s">
        <v>48</v>
      </c>
      <c r="B109" s="4" t="s">
        <v>87</v>
      </c>
      <c r="C109" s="5">
        <v>1.60500353E8</v>
      </c>
      <c r="D109" s="5">
        <f>230000000 -'MLB Teams Payroll'!$C109</f>
        <v>69499647</v>
      </c>
      <c r="E109" s="5" t="s">
        <v>23</v>
      </c>
      <c r="F109" s="4">
        <v>2022.0</v>
      </c>
    </row>
    <row r="110" ht="15.75" customHeight="1">
      <c r="A110" s="3" t="s">
        <v>41</v>
      </c>
      <c r="B110" s="4" t="s">
        <v>68</v>
      </c>
      <c r="C110" s="5">
        <v>1.5300635E8</v>
      </c>
      <c r="D110" s="5">
        <f>230000000 -'MLB Teams Payroll'!$C110</f>
        <v>76993650</v>
      </c>
      <c r="E110" s="5" t="s">
        <v>23</v>
      </c>
      <c r="F110" s="4">
        <v>2022.0</v>
      </c>
    </row>
    <row r="111" ht="15.75" customHeight="1">
      <c r="A111" s="3" t="s">
        <v>38</v>
      </c>
      <c r="B111" s="4" t="s">
        <v>49</v>
      </c>
      <c r="C111" s="5">
        <v>1.52359282E8</v>
      </c>
      <c r="D111" s="5">
        <f>230000000 -'MLB Teams Payroll'!$C111</f>
        <v>77640718</v>
      </c>
      <c r="E111" s="5" t="s">
        <v>23</v>
      </c>
      <c r="F111" s="4">
        <v>2022.0</v>
      </c>
    </row>
    <row r="112" ht="15.75" customHeight="1">
      <c r="A112" s="3" t="s">
        <v>33</v>
      </c>
      <c r="B112" s="4" t="s">
        <v>16</v>
      </c>
      <c r="C112" s="5">
        <v>1.4513795E8</v>
      </c>
      <c r="D112" s="5">
        <f>230000000 -'MLB Teams Payroll'!$C112</f>
        <v>84862050</v>
      </c>
      <c r="E112" s="5" t="s">
        <v>23</v>
      </c>
      <c r="F112" s="4">
        <v>2022.0</v>
      </c>
    </row>
    <row r="113" ht="15.75" customHeight="1">
      <c r="A113" s="3" t="s">
        <v>55</v>
      </c>
      <c r="B113" s="4" t="s">
        <v>68</v>
      </c>
      <c r="C113" s="5">
        <v>1.2526166E8</v>
      </c>
      <c r="D113" s="5">
        <f>230000000 -'MLB Teams Payroll'!$C113</f>
        <v>104738340</v>
      </c>
      <c r="E113" s="5" t="s">
        <v>23</v>
      </c>
      <c r="F113" s="4">
        <v>2022.0</v>
      </c>
    </row>
    <row r="114" ht="15.75" customHeight="1">
      <c r="A114" s="3" t="s">
        <v>45</v>
      </c>
      <c r="B114" s="4" t="s">
        <v>72</v>
      </c>
      <c r="C114" s="5">
        <v>1.25021497E8</v>
      </c>
      <c r="D114" s="5">
        <f>230000000 -'MLB Teams Payroll'!$C114</f>
        <v>104978503</v>
      </c>
      <c r="E114" s="5" t="s">
        <v>23</v>
      </c>
      <c r="F114" s="4">
        <v>2022.0</v>
      </c>
    </row>
    <row r="115" ht="15.75" customHeight="1">
      <c r="A115" s="3" t="s">
        <v>31</v>
      </c>
      <c r="B115" s="4" t="s">
        <v>64</v>
      </c>
      <c r="C115" s="5">
        <v>1.18290204E8</v>
      </c>
      <c r="D115" s="5">
        <f>230000000 -'MLB Teams Payroll'!$C115</f>
        <v>111709796</v>
      </c>
      <c r="E115" s="5" t="s">
        <v>23</v>
      </c>
      <c r="F115" s="4">
        <v>2022.0</v>
      </c>
    </row>
    <row r="116" ht="15.75" customHeight="1">
      <c r="A116" s="3" t="s">
        <v>59</v>
      </c>
      <c r="B116" s="4" t="s">
        <v>74</v>
      </c>
      <c r="C116" s="5">
        <v>1.14348173E8</v>
      </c>
      <c r="D116" s="5">
        <f>230000000 -'MLB Teams Payroll'!$C116</f>
        <v>115651827</v>
      </c>
      <c r="E116" s="5" t="s">
        <v>23</v>
      </c>
      <c r="F116" s="4">
        <v>2022.0</v>
      </c>
    </row>
    <row r="117" ht="15.75" customHeight="1">
      <c r="A117" s="3" t="s">
        <v>36</v>
      </c>
      <c r="B117" s="4" t="s">
        <v>88</v>
      </c>
      <c r="C117" s="5">
        <v>1.14324301E8</v>
      </c>
      <c r="D117" s="5">
        <f>230000000 -'MLB Teams Payroll'!$C117</f>
        <v>115675699</v>
      </c>
      <c r="E117" s="5" t="s">
        <v>23</v>
      </c>
      <c r="F117" s="4">
        <v>2022.0</v>
      </c>
    </row>
    <row r="118" ht="15.75" customHeight="1">
      <c r="A118" s="3" t="s">
        <v>50</v>
      </c>
      <c r="B118" s="4" t="s">
        <v>27</v>
      </c>
      <c r="C118" s="5">
        <v>9.1592881E7</v>
      </c>
      <c r="D118" s="5">
        <f>230000000 -'MLB Teams Payroll'!$C118</f>
        <v>138407119</v>
      </c>
      <c r="E118" s="5" t="s">
        <v>23</v>
      </c>
      <c r="F118" s="4">
        <v>2022.0</v>
      </c>
    </row>
    <row r="119" ht="15.75" customHeight="1">
      <c r="A119" s="3" t="s">
        <v>34</v>
      </c>
      <c r="B119" s="4" t="s">
        <v>9</v>
      </c>
      <c r="C119" s="5">
        <v>8.2898023E7</v>
      </c>
      <c r="D119" s="5">
        <f>230000000 -'MLB Teams Payroll'!$C119</f>
        <v>147101977</v>
      </c>
      <c r="E119" s="5" t="s">
        <v>23</v>
      </c>
      <c r="F119" s="4">
        <v>2022.0</v>
      </c>
    </row>
    <row r="120" ht="15.75" customHeight="1">
      <c r="A120" s="3" t="s">
        <v>53</v>
      </c>
      <c r="B120" s="4" t="s">
        <v>72</v>
      </c>
      <c r="C120" s="5">
        <v>7.5399389E7</v>
      </c>
      <c r="D120" s="5">
        <f>230000000 -'MLB Teams Payroll'!$C120</f>
        <v>154600611</v>
      </c>
      <c r="E120" s="5" t="s">
        <v>23</v>
      </c>
      <c r="F120" s="4">
        <v>2022.0</v>
      </c>
    </row>
    <row r="121" ht="15.75" customHeight="1">
      <c r="A121" s="7" t="s">
        <v>73</v>
      </c>
      <c r="B121" s="4" t="s">
        <v>58</v>
      </c>
      <c r="C121" s="5">
        <v>6.5325365E7</v>
      </c>
      <c r="D121" s="5">
        <f>230000000 -'MLB Teams Payroll'!$C121</f>
        <v>164674635</v>
      </c>
      <c r="E121" s="5" t="s">
        <v>23</v>
      </c>
      <c r="F121" s="4">
        <v>2022.0</v>
      </c>
    </row>
    <row r="122" ht="15.75" customHeight="1">
      <c r="A122" s="3" t="s">
        <v>6</v>
      </c>
      <c r="B122" s="4" t="s">
        <v>85</v>
      </c>
      <c r="C122" s="5">
        <v>2.85599944E8</v>
      </c>
      <c r="D122" s="5">
        <f>210000000 - 'MLB Teams Payroll'!$C122</f>
        <v>-75599944</v>
      </c>
      <c r="E122" s="5">
        <v>3.2649965E7</v>
      </c>
      <c r="F122" s="4">
        <v>2021.0</v>
      </c>
    </row>
    <row r="123" ht="15.75" customHeight="1">
      <c r="A123" s="3" t="s">
        <v>15</v>
      </c>
      <c r="B123" s="4" t="s">
        <v>60</v>
      </c>
      <c r="C123" s="5">
        <v>2.16467691E8</v>
      </c>
      <c r="D123" s="5">
        <f>210000000 - 'MLB Teams Payroll'!$C123</f>
        <v>-6467691</v>
      </c>
      <c r="E123" s="5">
        <v>1293538.0</v>
      </c>
      <c r="F123" s="4">
        <v>2021.0</v>
      </c>
    </row>
    <row r="124" ht="15.75" customHeight="1">
      <c r="A124" s="3" t="s">
        <v>12</v>
      </c>
      <c r="B124" s="4" t="s">
        <v>37</v>
      </c>
      <c r="C124" s="5">
        <v>2.09370501E8</v>
      </c>
      <c r="D124" s="5">
        <f>210000000 - 'MLB Teams Payroll'!$C124</f>
        <v>629499</v>
      </c>
      <c r="E124" s="5" t="s">
        <v>23</v>
      </c>
      <c r="F124" s="4">
        <v>2021.0</v>
      </c>
    </row>
    <row r="125" ht="15.75" customHeight="1">
      <c r="A125" s="3" t="s">
        <v>10</v>
      </c>
      <c r="B125" s="4" t="s">
        <v>27</v>
      </c>
      <c r="C125" s="5">
        <v>2.0841854E8</v>
      </c>
      <c r="D125" s="5">
        <f>210000000 - 'MLB Teams Payroll'!$C125</f>
        <v>1581460</v>
      </c>
      <c r="E125" s="5" t="s">
        <v>23</v>
      </c>
      <c r="F125" s="4">
        <v>2021.0</v>
      </c>
    </row>
    <row r="126" ht="15.75" customHeight="1">
      <c r="A126" s="3" t="s">
        <v>8</v>
      </c>
      <c r="B126" s="4" t="s">
        <v>56</v>
      </c>
      <c r="C126" s="5">
        <v>2.07728776E8</v>
      </c>
      <c r="D126" s="5">
        <f>210000000 - 'MLB Teams Payroll'!$C126</f>
        <v>2271224</v>
      </c>
      <c r="E126" s="5" t="s">
        <v>23</v>
      </c>
      <c r="F126" s="4">
        <v>2021.0</v>
      </c>
    </row>
    <row r="127" ht="15.75" customHeight="1">
      <c r="A127" s="3" t="s">
        <v>17</v>
      </c>
      <c r="B127" s="4" t="s">
        <v>27</v>
      </c>
      <c r="C127" s="5">
        <v>2.07640471E8</v>
      </c>
      <c r="D127" s="5">
        <f>210000000 - 'MLB Teams Payroll'!$C127</f>
        <v>2359529</v>
      </c>
      <c r="E127" s="5" t="s">
        <v>23</v>
      </c>
      <c r="F127" s="4">
        <v>2021.0</v>
      </c>
    </row>
    <row r="128" ht="15.75" customHeight="1">
      <c r="A128" s="3" t="s">
        <v>19</v>
      </c>
      <c r="B128" s="4" t="s">
        <v>63</v>
      </c>
      <c r="C128" s="5">
        <v>2.06641209E8</v>
      </c>
      <c r="D128" s="5">
        <f>210000000 - 'MLB Teams Payroll'!$C128</f>
        <v>3358791</v>
      </c>
      <c r="E128" s="5" t="s">
        <v>23</v>
      </c>
      <c r="F128" s="4">
        <v>2021.0</v>
      </c>
    </row>
    <row r="129" ht="15.75" customHeight="1">
      <c r="A129" s="3" t="s">
        <v>28</v>
      </c>
      <c r="B129" s="4" t="s">
        <v>56</v>
      </c>
      <c r="C129" s="5">
        <v>1.98984916E8</v>
      </c>
      <c r="D129" s="5">
        <f>210000000 - 'MLB Teams Payroll'!$C129</f>
        <v>11015084</v>
      </c>
      <c r="E129" s="5" t="s">
        <v>23</v>
      </c>
      <c r="F129" s="4">
        <v>2021.0</v>
      </c>
    </row>
    <row r="130" ht="15.75" customHeight="1">
      <c r="A130" s="3" t="s">
        <v>39</v>
      </c>
      <c r="B130" s="4" t="s">
        <v>16</v>
      </c>
      <c r="C130" s="5">
        <v>1.98350234E8</v>
      </c>
      <c r="D130" s="5">
        <f>210000000 - 'MLB Teams Payroll'!$C130</f>
        <v>11649766</v>
      </c>
      <c r="E130" s="5" t="s">
        <v>23</v>
      </c>
      <c r="F130" s="4">
        <v>2021.0</v>
      </c>
    </row>
    <row r="131" ht="15.75" customHeight="1">
      <c r="A131" s="3" t="s">
        <v>57</v>
      </c>
      <c r="B131" s="4" t="s">
        <v>7</v>
      </c>
      <c r="C131" s="5">
        <v>1.77837827E8</v>
      </c>
      <c r="D131" s="5">
        <f>210000000 - 'MLB Teams Payroll'!$C131</f>
        <v>32162173</v>
      </c>
      <c r="E131" s="5" t="s">
        <v>23</v>
      </c>
      <c r="F131" s="4">
        <v>2021.0</v>
      </c>
    </row>
    <row r="132" ht="15.75" customHeight="1">
      <c r="A132" s="3" t="s">
        <v>48</v>
      </c>
      <c r="B132" s="4" t="s">
        <v>88</v>
      </c>
      <c r="C132" s="5">
        <v>1.74582117E8</v>
      </c>
      <c r="D132" s="5">
        <f>210000000 - 'MLB Teams Payroll'!$C132</f>
        <v>35417883</v>
      </c>
      <c r="E132" s="5" t="s">
        <v>23</v>
      </c>
      <c r="F132" s="4">
        <v>2021.0</v>
      </c>
    </row>
    <row r="133" ht="15.75" customHeight="1">
      <c r="A133" s="3" t="s">
        <v>30</v>
      </c>
      <c r="B133" s="4" t="s">
        <v>89</v>
      </c>
      <c r="C133" s="5">
        <v>1.73481453E8</v>
      </c>
      <c r="D133" s="5">
        <f>210000000 - 'MLB Teams Payroll'!$C133</f>
        <v>36518547</v>
      </c>
      <c r="E133" s="5" t="s">
        <v>23</v>
      </c>
      <c r="F133" s="4">
        <v>2021.0</v>
      </c>
    </row>
    <row r="134" ht="15.75" customHeight="1">
      <c r="A134" s="3" t="s">
        <v>24</v>
      </c>
      <c r="B134" s="4" t="s">
        <v>62</v>
      </c>
      <c r="C134" s="5">
        <v>1.72630704E8</v>
      </c>
      <c r="D134" s="5">
        <f>210000000 - 'MLB Teams Payroll'!$C134</f>
        <v>37369296</v>
      </c>
      <c r="E134" s="5" t="s">
        <v>23</v>
      </c>
      <c r="F134" s="4">
        <v>2021.0</v>
      </c>
    </row>
    <row r="135" ht="15.75" customHeight="1">
      <c r="A135" s="3" t="s">
        <v>14</v>
      </c>
      <c r="B135" s="4" t="s">
        <v>71</v>
      </c>
      <c r="C135" s="5">
        <v>1.66054167E8</v>
      </c>
      <c r="D135" s="5">
        <f>210000000 - 'MLB Teams Payroll'!$C135</f>
        <v>43945833</v>
      </c>
      <c r="E135" s="5" t="s">
        <v>23</v>
      </c>
      <c r="F135" s="4">
        <v>2021.0</v>
      </c>
    </row>
    <row r="136" ht="15.75" customHeight="1">
      <c r="A136" s="3" t="s">
        <v>26</v>
      </c>
      <c r="B136" s="4" t="s">
        <v>54</v>
      </c>
      <c r="C136" s="5">
        <v>1.65665645E8</v>
      </c>
      <c r="D136" s="5">
        <f>210000000 - 'MLB Teams Payroll'!$C136</f>
        <v>44334355</v>
      </c>
      <c r="E136" s="5" t="s">
        <v>23</v>
      </c>
      <c r="F136" s="4">
        <v>2021.0</v>
      </c>
    </row>
    <row r="137" ht="15.75" customHeight="1">
      <c r="A137" s="3" t="s">
        <v>46</v>
      </c>
      <c r="B137" s="4" t="s">
        <v>77</v>
      </c>
      <c r="C137" s="5">
        <v>1.45511247E8</v>
      </c>
      <c r="D137" s="5">
        <f>210000000 - 'MLB Teams Payroll'!$C137</f>
        <v>64488753</v>
      </c>
      <c r="E137" s="5" t="s">
        <v>23</v>
      </c>
      <c r="F137" s="4">
        <v>2021.0</v>
      </c>
    </row>
    <row r="138" ht="15.75" customHeight="1">
      <c r="A138" s="3" t="s">
        <v>45</v>
      </c>
      <c r="B138" s="4" t="s">
        <v>9</v>
      </c>
      <c r="C138" s="5">
        <v>1.44248891E8</v>
      </c>
      <c r="D138" s="5">
        <f>210000000 - 'MLB Teams Payroll'!$C138</f>
        <v>65751109</v>
      </c>
      <c r="E138" s="5" t="s">
        <v>23</v>
      </c>
      <c r="F138" s="4">
        <v>2021.0</v>
      </c>
    </row>
    <row r="139" ht="15.75" customHeight="1">
      <c r="A139" s="3" t="s">
        <v>41</v>
      </c>
      <c r="B139" s="4" t="s">
        <v>63</v>
      </c>
      <c r="C139" s="5">
        <v>1.31990136E8</v>
      </c>
      <c r="D139" s="5">
        <f>210000000 - 'MLB Teams Payroll'!$C139</f>
        <v>78009864</v>
      </c>
      <c r="E139" s="5" t="s">
        <v>23</v>
      </c>
      <c r="F139" s="4">
        <v>2021.0</v>
      </c>
    </row>
    <row r="140" ht="15.75" customHeight="1">
      <c r="A140" s="3" t="s">
        <v>43</v>
      </c>
      <c r="B140" s="4" t="s">
        <v>90</v>
      </c>
      <c r="C140" s="5">
        <v>1.17210393E8</v>
      </c>
      <c r="D140" s="5">
        <f>210000000 - 'MLB Teams Payroll'!$C140</f>
        <v>92789607</v>
      </c>
      <c r="E140" s="5" t="s">
        <v>23</v>
      </c>
      <c r="F140" s="4">
        <v>2021.0</v>
      </c>
    </row>
    <row r="141" ht="15.75" customHeight="1">
      <c r="A141" s="3" t="s">
        <v>21</v>
      </c>
      <c r="B141" s="4" t="s">
        <v>58</v>
      </c>
      <c r="C141" s="5">
        <v>1.11309808E8</v>
      </c>
      <c r="D141" s="5">
        <f>210000000 - 'MLB Teams Payroll'!$C141</f>
        <v>98690192</v>
      </c>
      <c r="E141" s="5" t="s">
        <v>23</v>
      </c>
      <c r="F141" s="4">
        <v>2021.0</v>
      </c>
    </row>
    <row r="142" ht="15.75" customHeight="1">
      <c r="A142" s="3" t="s">
        <v>31</v>
      </c>
      <c r="B142" s="4" t="s">
        <v>91</v>
      </c>
      <c r="C142" s="5">
        <v>1.09387132E8</v>
      </c>
      <c r="D142" s="5">
        <f>210000000 - 'MLB Teams Payroll'!$C142</f>
        <v>100612868</v>
      </c>
      <c r="E142" s="5" t="s">
        <v>23</v>
      </c>
      <c r="F142" s="4">
        <v>2021.0</v>
      </c>
    </row>
    <row r="143" ht="15.75" customHeight="1">
      <c r="A143" s="3" t="s">
        <v>36</v>
      </c>
      <c r="B143" s="4" t="s">
        <v>64</v>
      </c>
      <c r="C143" s="5">
        <v>1.08026769E8</v>
      </c>
      <c r="D143" s="5">
        <f>210000000 - 'MLB Teams Payroll'!$C143</f>
        <v>101973231</v>
      </c>
      <c r="E143" s="5" t="s">
        <v>23</v>
      </c>
      <c r="F143" s="4">
        <v>2021.0</v>
      </c>
    </row>
    <row r="144" ht="15.75" customHeight="1">
      <c r="A144" s="3" t="s">
        <v>38</v>
      </c>
      <c r="B144" s="4" t="s">
        <v>56</v>
      </c>
      <c r="C144" s="5">
        <v>1.03879667E8</v>
      </c>
      <c r="D144" s="5">
        <f>210000000 - 'MLB Teams Payroll'!$C144</f>
        <v>106120333</v>
      </c>
      <c r="E144" s="5" t="s">
        <v>23</v>
      </c>
      <c r="F144" s="4">
        <v>2021.0</v>
      </c>
    </row>
    <row r="145" ht="15.75" customHeight="1">
      <c r="A145" s="3" t="s">
        <v>33</v>
      </c>
      <c r="B145" s="4" t="s">
        <v>16</v>
      </c>
      <c r="C145" s="5">
        <v>1.02679174E8</v>
      </c>
      <c r="D145" s="5">
        <f>210000000 - 'MLB Teams Payroll'!$C145</f>
        <v>107320826</v>
      </c>
      <c r="E145" s="5" t="s">
        <v>23</v>
      </c>
      <c r="F145" s="4">
        <v>2021.0</v>
      </c>
    </row>
    <row r="146" ht="15.75" customHeight="1">
      <c r="A146" s="7" t="s">
        <v>73</v>
      </c>
      <c r="B146" s="4" t="s">
        <v>68</v>
      </c>
      <c r="C146" s="5">
        <v>1.02225663E8</v>
      </c>
      <c r="D146" s="5">
        <f>210000000 - 'MLB Teams Payroll'!$C146</f>
        <v>107774337</v>
      </c>
      <c r="E146" s="5" t="s">
        <v>23</v>
      </c>
      <c r="F146" s="4">
        <v>2021.0</v>
      </c>
    </row>
    <row r="147" ht="15.75" customHeight="1">
      <c r="A147" s="3" t="s">
        <v>55</v>
      </c>
      <c r="B147" s="4" t="s">
        <v>75</v>
      </c>
      <c r="C147" s="5">
        <v>8.9833652E7</v>
      </c>
      <c r="D147" s="5">
        <f>210000000 - 'MLB Teams Payroll'!$C147</f>
        <v>120166348</v>
      </c>
      <c r="E147" s="5" t="s">
        <v>23</v>
      </c>
      <c r="F147" s="4">
        <v>2021.0</v>
      </c>
    </row>
    <row r="148" ht="15.75" customHeight="1">
      <c r="A148" s="3" t="s">
        <v>59</v>
      </c>
      <c r="B148" s="4" t="s">
        <v>92</v>
      </c>
      <c r="C148" s="5">
        <v>8.2332229E7</v>
      </c>
      <c r="D148" s="5">
        <f>210000000 - 'MLB Teams Payroll'!$C148</f>
        <v>127667771</v>
      </c>
      <c r="E148" s="5" t="s">
        <v>23</v>
      </c>
      <c r="F148" s="4">
        <v>2021.0</v>
      </c>
    </row>
    <row r="149" ht="15.75" customHeight="1">
      <c r="A149" s="3" t="s">
        <v>34</v>
      </c>
      <c r="B149" s="4" t="s">
        <v>91</v>
      </c>
      <c r="C149" s="5">
        <v>7.6348794E7</v>
      </c>
      <c r="D149" s="5">
        <f>210000000 - 'MLB Teams Payroll'!$C149</f>
        <v>133651206</v>
      </c>
      <c r="E149" s="5" t="s">
        <v>23</v>
      </c>
      <c r="F149" s="4">
        <v>2021.0</v>
      </c>
    </row>
    <row r="150" ht="15.75" customHeight="1">
      <c r="A150" s="3" t="s">
        <v>50</v>
      </c>
      <c r="B150" s="4" t="s">
        <v>32</v>
      </c>
      <c r="C150" s="5">
        <v>6.2212834E7</v>
      </c>
      <c r="D150" s="5">
        <f>210000000 - 'MLB Teams Payroll'!$C150</f>
        <v>147787166</v>
      </c>
      <c r="E150" s="5" t="s">
        <v>23</v>
      </c>
      <c r="F150" s="4">
        <v>2021.0</v>
      </c>
    </row>
    <row r="151" ht="15.75" customHeight="1">
      <c r="A151" s="3" t="s">
        <v>53</v>
      </c>
      <c r="B151" s="4" t="s">
        <v>66</v>
      </c>
      <c r="C151" s="5">
        <v>6.1812141E7</v>
      </c>
      <c r="D151" s="5">
        <f>210000000 - 'MLB Teams Payroll'!$C151</f>
        <v>148187859</v>
      </c>
      <c r="E151" s="5" t="s">
        <v>23</v>
      </c>
      <c r="F151" s="4">
        <v>2021.0</v>
      </c>
    </row>
    <row r="152" ht="15.75" customHeight="1">
      <c r="A152" s="3" t="s">
        <v>10</v>
      </c>
      <c r="B152" s="4" t="s">
        <v>93</v>
      </c>
      <c r="C152" s="5">
        <v>2.3982327E8</v>
      </c>
      <c r="D152" s="5">
        <f>208000000-'MLB Teams Payroll'!$C152</f>
        <v>-31823270</v>
      </c>
      <c r="E152" s="5">
        <v>1.0965773E7</v>
      </c>
      <c r="F152" s="4">
        <v>2020.0</v>
      </c>
    </row>
    <row r="153" ht="15.75" customHeight="1">
      <c r="A153" s="3" t="s">
        <v>19</v>
      </c>
      <c r="B153" s="4" t="s">
        <v>94</v>
      </c>
      <c r="C153" s="5">
        <v>2.24319004E8</v>
      </c>
      <c r="D153" s="5">
        <f>208000000-'MLB Teams Payroll'!$C153</f>
        <v>-16319004</v>
      </c>
      <c r="E153" s="5">
        <v>3263801.0</v>
      </c>
      <c r="F153" s="4">
        <v>2020.0</v>
      </c>
    </row>
    <row r="154" ht="15.75" customHeight="1">
      <c r="A154" s="3" t="s">
        <v>26</v>
      </c>
      <c r="B154" s="4" t="s">
        <v>95</v>
      </c>
      <c r="C154" s="5">
        <v>2.16269251E8</v>
      </c>
      <c r="D154" s="5">
        <f>208000000-'MLB Teams Payroll'!$C154</f>
        <v>-8269251</v>
      </c>
      <c r="E154" s="5">
        <v>2480775.0</v>
      </c>
      <c r="F154" s="4">
        <v>2020.0</v>
      </c>
    </row>
    <row r="155" ht="15.75" customHeight="1">
      <c r="A155" s="3" t="s">
        <v>12</v>
      </c>
      <c r="B155" s="4" t="s">
        <v>96</v>
      </c>
      <c r="C155" s="5">
        <v>2.07335897E8</v>
      </c>
      <c r="D155" s="5">
        <f>208000000-'MLB Teams Payroll'!$C155</f>
        <v>664103</v>
      </c>
      <c r="E155" s="8" t="s">
        <v>23</v>
      </c>
      <c r="F155" s="4">
        <v>2020.0</v>
      </c>
    </row>
    <row r="156" ht="15.75" customHeight="1">
      <c r="A156" s="3" t="s">
        <v>6</v>
      </c>
      <c r="B156" s="4" t="s">
        <v>97</v>
      </c>
      <c r="C156" s="5">
        <v>2.04653651E8</v>
      </c>
      <c r="D156" s="5">
        <f>208000000-'MLB Teams Payroll'!$C156</f>
        <v>3346349</v>
      </c>
      <c r="E156" s="8" t="s">
        <v>23</v>
      </c>
      <c r="F156" s="4">
        <v>2020.0</v>
      </c>
    </row>
    <row r="157" ht="15.75" customHeight="1">
      <c r="A157" s="3" t="s">
        <v>48</v>
      </c>
      <c r="B157" s="4" t="s">
        <v>98</v>
      </c>
      <c r="C157" s="5">
        <v>1.95106653E8</v>
      </c>
      <c r="D157" s="5">
        <f>208000000-'MLB Teams Payroll'!$C157</f>
        <v>12893347</v>
      </c>
      <c r="E157" s="8" t="s">
        <v>23</v>
      </c>
      <c r="F157" s="4">
        <v>2020.0</v>
      </c>
    </row>
    <row r="158" ht="15.75" customHeight="1">
      <c r="A158" s="3" t="s">
        <v>8</v>
      </c>
      <c r="B158" s="4" t="s">
        <v>98</v>
      </c>
      <c r="C158" s="5">
        <v>1.93118538E8</v>
      </c>
      <c r="D158" s="5">
        <f>208000000-'MLB Teams Payroll'!$C158</f>
        <v>14881462</v>
      </c>
      <c r="E158" s="8" t="s">
        <v>23</v>
      </c>
      <c r="F158" s="4">
        <v>2020.0</v>
      </c>
    </row>
    <row r="159" ht="15.75" customHeight="1">
      <c r="A159" s="3" t="s">
        <v>17</v>
      </c>
      <c r="B159" s="4" t="s">
        <v>99</v>
      </c>
      <c r="C159" s="5">
        <v>1.84859384E8</v>
      </c>
      <c r="D159" s="5">
        <f>208000000-'MLB Teams Payroll'!$C159</f>
        <v>23140616</v>
      </c>
      <c r="E159" s="8" t="s">
        <v>23</v>
      </c>
      <c r="F159" s="4">
        <v>2020.0</v>
      </c>
    </row>
    <row r="160" ht="15.75" customHeight="1">
      <c r="A160" s="3" t="s">
        <v>28</v>
      </c>
      <c r="B160" s="4" t="s">
        <v>98</v>
      </c>
      <c r="C160" s="5">
        <v>1.82625006E8</v>
      </c>
      <c r="D160" s="5">
        <f>208000000-'MLB Teams Payroll'!$C160</f>
        <v>25374994</v>
      </c>
      <c r="E160" s="8" t="s">
        <v>23</v>
      </c>
      <c r="F160" s="4">
        <v>2020.0</v>
      </c>
    </row>
    <row r="161" ht="15.75" customHeight="1">
      <c r="A161" s="3" t="s">
        <v>24</v>
      </c>
      <c r="B161" s="4" t="s">
        <v>100</v>
      </c>
      <c r="C161" s="5">
        <v>1.81047297E8</v>
      </c>
      <c r="D161" s="5">
        <f>208000000-'MLB Teams Payroll'!$C161</f>
        <v>26952703</v>
      </c>
      <c r="E161" s="8" t="s">
        <v>23</v>
      </c>
      <c r="F161" s="4">
        <v>2020.0</v>
      </c>
    </row>
    <row r="162" ht="15.75" customHeight="1">
      <c r="A162" s="3" t="s">
        <v>39</v>
      </c>
      <c r="B162" s="4" t="s">
        <v>101</v>
      </c>
      <c r="C162" s="5">
        <v>1.78369208E8</v>
      </c>
      <c r="D162" s="5">
        <f>208000000-'MLB Teams Payroll'!$C162</f>
        <v>29630792</v>
      </c>
      <c r="E162" s="8" t="s">
        <v>23</v>
      </c>
      <c r="F162" s="4">
        <v>2020.0</v>
      </c>
    </row>
    <row r="163" ht="15.75" customHeight="1">
      <c r="A163" s="3" t="s">
        <v>57</v>
      </c>
      <c r="B163" s="4" t="s">
        <v>100</v>
      </c>
      <c r="C163" s="5">
        <v>1.78251672E8</v>
      </c>
      <c r="D163" s="5">
        <f>208000000-'MLB Teams Payroll'!$C163</f>
        <v>29748328</v>
      </c>
      <c r="E163" s="8" t="s">
        <v>23</v>
      </c>
      <c r="F163" s="4">
        <v>2020.0</v>
      </c>
    </row>
    <row r="164" ht="15.75" customHeight="1">
      <c r="A164" s="3" t="s">
        <v>43</v>
      </c>
      <c r="B164" s="4" t="s">
        <v>98</v>
      </c>
      <c r="C164" s="5">
        <v>1.71662399E8</v>
      </c>
      <c r="D164" s="5">
        <f>208000000-'MLB Teams Payroll'!$C164</f>
        <v>36337601</v>
      </c>
      <c r="E164" s="8" t="s">
        <v>23</v>
      </c>
      <c r="F164" s="4">
        <v>2020.0</v>
      </c>
    </row>
    <row r="165" ht="15.75" customHeight="1">
      <c r="A165" s="3" t="s">
        <v>21</v>
      </c>
      <c r="B165" s="4" t="s">
        <v>102</v>
      </c>
      <c r="C165" s="5">
        <v>1.71550103E8</v>
      </c>
      <c r="D165" s="5">
        <f>208000000-'MLB Teams Payroll'!$C165</f>
        <v>36449897</v>
      </c>
      <c r="E165" s="8" t="s">
        <v>23</v>
      </c>
      <c r="F165" s="4">
        <v>2020.0</v>
      </c>
    </row>
    <row r="166" ht="15.75" customHeight="1">
      <c r="A166" s="3" t="s">
        <v>15</v>
      </c>
      <c r="B166" s="4" t="s">
        <v>103</v>
      </c>
      <c r="C166" s="5">
        <v>1.69683387E8</v>
      </c>
      <c r="D166" s="5">
        <f>208000000-'MLB Teams Payroll'!$C166</f>
        <v>38316613</v>
      </c>
      <c r="E166" s="8" t="s">
        <v>23</v>
      </c>
      <c r="F166" s="4">
        <v>2020.0</v>
      </c>
    </row>
    <row r="167" ht="15.75" customHeight="1">
      <c r="A167" s="3" t="s">
        <v>46</v>
      </c>
      <c r="B167" s="4" t="s">
        <v>104</v>
      </c>
      <c r="C167" s="5">
        <v>1.68319022E8</v>
      </c>
      <c r="D167" s="5">
        <f>208000000-'MLB Teams Payroll'!$C167</f>
        <v>39680978</v>
      </c>
      <c r="E167" s="8" t="s">
        <v>23</v>
      </c>
      <c r="F167" s="4">
        <v>2020.0</v>
      </c>
    </row>
    <row r="168" ht="15.75" customHeight="1">
      <c r="A168" s="3" t="s">
        <v>45</v>
      </c>
      <c r="B168" s="4" t="s">
        <v>105</v>
      </c>
      <c r="C168" s="5">
        <v>1.6551365E8</v>
      </c>
      <c r="D168" s="5">
        <f>208000000-'MLB Teams Payroll'!$C168</f>
        <v>42486350</v>
      </c>
      <c r="E168" s="8" t="s">
        <v>23</v>
      </c>
      <c r="F168" s="4">
        <v>2020.0</v>
      </c>
    </row>
    <row r="169" ht="15.75" customHeight="1">
      <c r="A169" s="3" t="s">
        <v>30</v>
      </c>
      <c r="B169" s="4" t="s">
        <v>94</v>
      </c>
      <c r="C169" s="5">
        <v>1.54776043E8</v>
      </c>
      <c r="D169" s="5">
        <f>208000000-'MLB Teams Payroll'!$C169</f>
        <v>53223957</v>
      </c>
      <c r="E169" s="8" t="s">
        <v>23</v>
      </c>
      <c r="F169" s="4">
        <v>2020.0</v>
      </c>
    </row>
    <row r="170" ht="15.75" customHeight="1">
      <c r="A170" s="3" t="s">
        <v>14</v>
      </c>
      <c r="B170" s="4" t="s">
        <v>106</v>
      </c>
      <c r="C170" s="5">
        <v>1.33461289E8</v>
      </c>
      <c r="D170" s="5">
        <f>208000000-'MLB Teams Payroll'!$C170</f>
        <v>74538711</v>
      </c>
      <c r="E170" s="8" t="s">
        <v>23</v>
      </c>
      <c r="F170" s="4">
        <v>2020.0</v>
      </c>
    </row>
    <row r="171" ht="15.75" customHeight="1">
      <c r="A171" s="3" t="s">
        <v>31</v>
      </c>
      <c r="B171" s="4" t="s">
        <v>107</v>
      </c>
      <c r="C171" s="5">
        <v>1.29573309E8</v>
      </c>
      <c r="D171" s="5">
        <f>208000000-'MLB Teams Payroll'!$C171</f>
        <v>78426691</v>
      </c>
      <c r="E171" s="8" t="s">
        <v>23</v>
      </c>
      <c r="F171" s="4">
        <v>2020.0</v>
      </c>
    </row>
    <row r="172" ht="15.75" customHeight="1">
      <c r="A172" s="3" t="s">
        <v>41</v>
      </c>
      <c r="B172" s="4" t="s">
        <v>94</v>
      </c>
      <c r="C172" s="5">
        <v>1.20250178E8</v>
      </c>
      <c r="D172" s="5">
        <f>208000000-'MLB Teams Payroll'!$C172</f>
        <v>87749822</v>
      </c>
      <c r="E172" s="8" t="s">
        <v>23</v>
      </c>
      <c r="F172" s="4">
        <v>2020.0</v>
      </c>
    </row>
    <row r="173" ht="15.75" customHeight="1">
      <c r="A173" s="3" t="s">
        <v>38</v>
      </c>
      <c r="B173" s="4" t="s">
        <v>108</v>
      </c>
      <c r="C173" s="5">
        <v>1.19860487E8</v>
      </c>
      <c r="D173" s="5">
        <f>208000000-'MLB Teams Payroll'!$C173</f>
        <v>88139513</v>
      </c>
      <c r="E173" s="8" t="s">
        <v>23</v>
      </c>
      <c r="F173" s="4">
        <v>2020.0</v>
      </c>
    </row>
    <row r="174" ht="15.75" customHeight="1">
      <c r="A174" s="3" t="s">
        <v>33</v>
      </c>
      <c r="B174" s="4" t="s">
        <v>109</v>
      </c>
      <c r="C174" s="5">
        <v>1.12751155E8</v>
      </c>
      <c r="D174" s="5">
        <f>208000000-'MLB Teams Payroll'!$C174</f>
        <v>95248845</v>
      </c>
      <c r="E174" s="8" t="s">
        <v>23</v>
      </c>
      <c r="F174" s="4">
        <v>2020.0</v>
      </c>
    </row>
    <row r="175" ht="15.75" customHeight="1">
      <c r="A175" s="7" t="s">
        <v>73</v>
      </c>
      <c r="B175" s="4" t="s">
        <v>104</v>
      </c>
      <c r="C175" s="5">
        <v>1.09156983E8</v>
      </c>
      <c r="D175" s="5">
        <f>208000000-'MLB Teams Payroll'!$C175</f>
        <v>98843017</v>
      </c>
      <c r="E175" s="8" t="s">
        <v>23</v>
      </c>
      <c r="F175" s="4">
        <v>2020.0</v>
      </c>
    </row>
    <row r="176" ht="15.75" customHeight="1">
      <c r="A176" s="3" t="s">
        <v>50</v>
      </c>
      <c r="B176" s="4" t="s">
        <v>100</v>
      </c>
      <c r="C176" s="5">
        <v>1.06794252E8</v>
      </c>
      <c r="D176" s="5">
        <f>208000000-'MLB Teams Payroll'!$C176</f>
        <v>101205748</v>
      </c>
      <c r="E176" s="8" t="s">
        <v>23</v>
      </c>
      <c r="F176" s="4">
        <v>2020.0</v>
      </c>
    </row>
    <row r="177" ht="15.75" customHeight="1">
      <c r="A177" s="3" t="s">
        <v>36</v>
      </c>
      <c r="B177" s="4" t="s">
        <v>98</v>
      </c>
      <c r="C177" s="5">
        <v>9.5431413E7</v>
      </c>
      <c r="D177" s="5">
        <f>208000000-'MLB Teams Payroll'!$C177</f>
        <v>112568587</v>
      </c>
      <c r="E177" s="8" t="s">
        <v>23</v>
      </c>
      <c r="F177" s="4">
        <v>2020.0</v>
      </c>
    </row>
    <row r="178" ht="15.75" customHeight="1">
      <c r="A178" s="3" t="s">
        <v>55</v>
      </c>
      <c r="B178" s="4" t="s">
        <v>110</v>
      </c>
      <c r="C178" s="5">
        <v>8.9902491E7</v>
      </c>
      <c r="D178" s="5">
        <f>208000000-'MLB Teams Payroll'!$C178</f>
        <v>118097509</v>
      </c>
      <c r="E178" s="8" t="s">
        <v>23</v>
      </c>
      <c r="F178" s="4">
        <v>2020.0</v>
      </c>
    </row>
    <row r="179" ht="15.75" customHeight="1">
      <c r="A179" s="3" t="s">
        <v>59</v>
      </c>
      <c r="B179" s="4" t="s">
        <v>105</v>
      </c>
      <c r="C179" s="5">
        <v>8.986187E7</v>
      </c>
      <c r="D179" s="5">
        <f>208000000-'MLB Teams Payroll'!$C179</f>
        <v>118138130</v>
      </c>
      <c r="E179" s="8" t="s">
        <v>23</v>
      </c>
      <c r="F179" s="4">
        <v>2020.0</v>
      </c>
    </row>
    <row r="180" ht="15.75" customHeight="1">
      <c r="A180" s="3" t="s">
        <v>34</v>
      </c>
      <c r="B180" s="4" t="s">
        <v>107</v>
      </c>
      <c r="C180" s="5">
        <v>7.9519468E7</v>
      </c>
      <c r="D180" s="5">
        <f>208000000-'MLB Teams Payroll'!$C180</f>
        <v>128480532</v>
      </c>
      <c r="E180" s="8" t="s">
        <v>23</v>
      </c>
      <c r="F180" s="4">
        <v>2020.0</v>
      </c>
    </row>
    <row r="181" ht="15.75" customHeight="1">
      <c r="A181" s="3" t="s">
        <v>53</v>
      </c>
      <c r="B181" s="4" t="s">
        <v>111</v>
      </c>
      <c r="C181" s="5">
        <v>6.9789757E7</v>
      </c>
      <c r="D181" s="5">
        <f>208000000-'MLB Teams Payroll'!$C181</f>
        <v>138210243</v>
      </c>
      <c r="E181" s="8" t="s">
        <v>23</v>
      </c>
      <c r="F181" s="4">
        <v>2020.0</v>
      </c>
    </row>
    <row r="182" ht="15.75" customHeight="1">
      <c r="A182" s="3" t="s">
        <v>17</v>
      </c>
      <c r="B182" s="4" t="s">
        <v>79</v>
      </c>
      <c r="C182" s="5">
        <v>2.43653717E8</v>
      </c>
      <c r="D182" s="5">
        <f>206000000-'MLB Teams Payroll'!$C182</f>
        <v>-37653717</v>
      </c>
      <c r="E182" s="5">
        <v>1.3414561E7</v>
      </c>
      <c r="F182" s="4">
        <v>2019.0</v>
      </c>
    </row>
    <row r="183" ht="15.75" customHeight="1">
      <c r="A183" s="3" t="s">
        <v>26</v>
      </c>
      <c r="B183" s="4" t="s">
        <v>79</v>
      </c>
      <c r="C183" s="5">
        <v>2.37199519E8</v>
      </c>
      <c r="D183" s="5">
        <f>206000000-'MLB Teams Payroll'!$C183</f>
        <v>-31199519</v>
      </c>
      <c r="E183" s="5">
        <v>7583846.0</v>
      </c>
      <c r="F183" s="4">
        <v>2019.0</v>
      </c>
    </row>
    <row r="184" ht="15.75" customHeight="1">
      <c r="A184" s="3" t="s">
        <v>10</v>
      </c>
      <c r="B184" s="4" t="s">
        <v>112</v>
      </c>
      <c r="C184" s="5">
        <v>2.34570109E8</v>
      </c>
      <c r="D184" s="5">
        <f>206000000-'MLB Teams Payroll'!$C184</f>
        <v>-28570109</v>
      </c>
      <c r="E184" s="5">
        <v>6742435.0</v>
      </c>
      <c r="F184" s="4">
        <v>2019.0</v>
      </c>
    </row>
    <row r="185" ht="15.75" customHeight="1">
      <c r="A185" s="3" t="s">
        <v>6</v>
      </c>
      <c r="B185" s="4" t="s">
        <v>85</v>
      </c>
      <c r="C185" s="5">
        <v>2.0491853E8</v>
      </c>
      <c r="D185" s="5">
        <f>206000000-'MLB Teams Payroll'!$C185</f>
        <v>1081470</v>
      </c>
      <c r="E185" s="5" t="s">
        <v>23</v>
      </c>
      <c r="F185" s="4">
        <v>2019.0</v>
      </c>
    </row>
    <row r="186" ht="15.75" customHeight="1">
      <c r="A186" s="3" t="s">
        <v>19</v>
      </c>
      <c r="B186" s="4" t="s">
        <v>89</v>
      </c>
      <c r="C186" s="5">
        <v>2.03750149E8</v>
      </c>
      <c r="D186" s="5">
        <f>206000000-'MLB Teams Payroll'!$C186</f>
        <v>2249851</v>
      </c>
      <c r="E186" s="5" t="s">
        <v>23</v>
      </c>
      <c r="F186" s="4">
        <v>2019.0</v>
      </c>
    </row>
    <row r="187" ht="15.75" customHeight="1">
      <c r="A187" s="3" t="s">
        <v>48</v>
      </c>
      <c r="B187" s="4" t="s">
        <v>7</v>
      </c>
      <c r="C187" s="5">
        <v>2.01151337E8</v>
      </c>
      <c r="D187" s="5">
        <f>206000000-'MLB Teams Payroll'!$C187</f>
        <v>4848663</v>
      </c>
      <c r="E187" s="5" t="s">
        <v>23</v>
      </c>
      <c r="F187" s="4">
        <v>2019.0</v>
      </c>
    </row>
    <row r="188" ht="15.75" customHeight="1">
      <c r="A188" s="3" t="s">
        <v>39</v>
      </c>
      <c r="B188" s="4" t="s">
        <v>71</v>
      </c>
      <c r="C188" s="5">
        <v>1.97759794E8</v>
      </c>
      <c r="D188" s="5">
        <f>206000000-'MLB Teams Payroll'!$C188</f>
        <v>8240206</v>
      </c>
      <c r="E188" s="5" t="s">
        <v>23</v>
      </c>
      <c r="F188" s="4">
        <v>2019.0</v>
      </c>
    </row>
    <row r="189" ht="15.75" customHeight="1">
      <c r="A189" s="3" t="s">
        <v>12</v>
      </c>
      <c r="B189" s="4" t="s">
        <v>22</v>
      </c>
      <c r="C189" s="5">
        <v>1.92105411E8</v>
      </c>
      <c r="D189" s="5">
        <f>206000000-'MLB Teams Payroll'!$C189</f>
        <v>13894589</v>
      </c>
      <c r="E189" s="5" t="s">
        <v>23</v>
      </c>
      <c r="F189" s="4">
        <v>2019.0</v>
      </c>
    </row>
    <row r="190" ht="15.75" customHeight="1">
      <c r="A190" s="3" t="s">
        <v>30</v>
      </c>
      <c r="B190" s="4" t="s">
        <v>56</v>
      </c>
      <c r="C190" s="5">
        <v>1.87696576E8</v>
      </c>
      <c r="D190" s="5">
        <f>206000000-'MLB Teams Payroll'!$C190</f>
        <v>18303424</v>
      </c>
      <c r="E190" s="5" t="s">
        <v>23</v>
      </c>
      <c r="F190" s="4">
        <v>2019.0</v>
      </c>
    </row>
    <row r="191" ht="15.75" customHeight="1">
      <c r="A191" s="3" t="s">
        <v>28</v>
      </c>
      <c r="B191" s="4" t="s">
        <v>29</v>
      </c>
      <c r="C191" s="5">
        <v>1.8700599E8</v>
      </c>
      <c r="D191" s="5">
        <f>206000000-'MLB Teams Payroll'!$C191</f>
        <v>18994010</v>
      </c>
      <c r="E191" s="5" t="s">
        <v>23</v>
      </c>
      <c r="F191" s="4">
        <v>2019.0</v>
      </c>
    </row>
    <row r="192" ht="15.75" customHeight="1">
      <c r="A192" s="3" t="s">
        <v>8</v>
      </c>
      <c r="B192" s="4" t="s">
        <v>68</v>
      </c>
      <c r="C192" s="5">
        <v>1.86195833E8</v>
      </c>
      <c r="D192" s="5">
        <f>206000000-'MLB Teams Payroll'!$C192</f>
        <v>19804167</v>
      </c>
      <c r="E192" s="5" t="s">
        <v>23</v>
      </c>
      <c r="F192" s="4">
        <v>2019.0</v>
      </c>
    </row>
    <row r="193" ht="15.75" customHeight="1">
      <c r="A193" s="3" t="s">
        <v>43</v>
      </c>
      <c r="B193" s="4" t="s">
        <v>54</v>
      </c>
      <c r="C193" s="5">
        <v>1.7886884E8</v>
      </c>
      <c r="D193" s="5">
        <f>206000000-'MLB Teams Payroll'!$C193</f>
        <v>27131160</v>
      </c>
      <c r="E193" s="5" t="s">
        <v>23</v>
      </c>
      <c r="F193" s="4">
        <v>2019.0</v>
      </c>
    </row>
    <row r="194" ht="15.75" customHeight="1">
      <c r="A194" s="3" t="s">
        <v>24</v>
      </c>
      <c r="B194" s="4" t="s">
        <v>42</v>
      </c>
      <c r="C194" s="5">
        <v>1.60048438E8</v>
      </c>
      <c r="D194" s="5">
        <f>206000000-'MLB Teams Payroll'!$C194</f>
        <v>45951562</v>
      </c>
      <c r="E194" s="5" t="s">
        <v>23</v>
      </c>
      <c r="F194" s="4">
        <v>2019.0</v>
      </c>
    </row>
    <row r="195" ht="15.75" customHeight="1">
      <c r="A195" s="3" t="s">
        <v>33</v>
      </c>
      <c r="B195" s="4" t="s">
        <v>86</v>
      </c>
      <c r="C195" s="5">
        <v>1.52527395E8</v>
      </c>
      <c r="D195" s="5">
        <f>206000000-'MLB Teams Payroll'!$C195</f>
        <v>53472605</v>
      </c>
      <c r="E195" s="5" t="s">
        <v>23</v>
      </c>
      <c r="F195" s="4">
        <v>2019.0</v>
      </c>
    </row>
    <row r="196" ht="15.75" customHeight="1">
      <c r="A196" s="3" t="s">
        <v>45</v>
      </c>
      <c r="B196" s="4" t="s">
        <v>35</v>
      </c>
      <c r="C196" s="5">
        <v>1.50543649E8</v>
      </c>
      <c r="D196" s="5">
        <f>206000000-'MLB Teams Payroll'!$C196</f>
        <v>55456351</v>
      </c>
      <c r="E196" s="5" t="s">
        <v>23</v>
      </c>
      <c r="F196" s="4">
        <v>2019.0</v>
      </c>
    </row>
    <row r="197" ht="15.75" customHeight="1">
      <c r="A197" s="3" t="s">
        <v>41</v>
      </c>
      <c r="B197" s="4" t="s">
        <v>18</v>
      </c>
      <c r="C197" s="5">
        <v>1.44865948E8</v>
      </c>
      <c r="D197" s="5">
        <f>206000000-'MLB Teams Payroll'!$C197</f>
        <v>61134052</v>
      </c>
      <c r="E197" s="5" t="s">
        <v>23</v>
      </c>
      <c r="F197" s="4">
        <v>2019.0</v>
      </c>
    </row>
    <row r="198" ht="15.75" customHeight="1">
      <c r="A198" s="3" t="s">
        <v>15</v>
      </c>
      <c r="B198" s="4" t="s">
        <v>47</v>
      </c>
      <c r="C198" s="5">
        <v>1.42980362E8</v>
      </c>
      <c r="D198" s="5">
        <f>206000000-'MLB Teams Payroll'!$C198</f>
        <v>63019638</v>
      </c>
      <c r="E198" s="5" t="s">
        <v>23</v>
      </c>
      <c r="F198" s="4">
        <v>2019.0</v>
      </c>
    </row>
    <row r="199" ht="15.75" customHeight="1">
      <c r="A199" s="3" t="s">
        <v>46</v>
      </c>
      <c r="B199" s="4" t="s">
        <v>82</v>
      </c>
      <c r="C199" s="5">
        <v>1.39483897E8</v>
      </c>
      <c r="D199" s="5">
        <f>206000000-'MLB Teams Payroll'!$C199</f>
        <v>66516103</v>
      </c>
      <c r="E199" s="5" t="s">
        <v>23</v>
      </c>
      <c r="F199" s="4">
        <v>2019.0</v>
      </c>
    </row>
    <row r="200" ht="15.75" customHeight="1">
      <c r="A200" s="3" t="s">
        <v>31</v>
      </c>
      <c r="B200" s="4" t="s">
        <v>67</v>
      </c>
      <c r="C200" s="5">
        <v>1.38023514E8</v>
      </c>
      <c r="D200" s="5">
        <f>206000000-'MLB Teams Payroll'!$C200</f>
        <v>67976486</v>
      </c>
      <c r="E200" s="5" t="s">
        <v>23</v>
      </c>
      <c r="F200" s="4">
        <v>2019.0</v>
      </c>
    </row>
    <row r="201" ht="15.75" customHeight="1">
      <c r="A201" s="3" t="s">
        <v>21</v>
      </c>
      <c r="B201" s="4" t="s">
        <v>40</v>
      </c>
      <c r="C201" s="5">
        <v>1.36411784E8</v>
      </c>
      <c r="D201" s="5">
        <f>206000000-'MLB Teams Payroll'!$C201</f>
        <v>69588216</v>
      </c>
      <c r="E201" s="5" t="s">
        <v>23</v>
      </c>
      <c r="F201" s="4">
        <v>2019.0</v>
      </c>
    </row>
    <row r="202" ht="15.75" customHeight="1">
      <c r="A202" s="3" t="s">
        <v>14</v>
      </c>
      <c r="B202" s="4" t="s">
        <v>92</v>
      </c>
      <c r="C202" s="5">
        <v>1.30552357E8</v>
      </c>
      <c r="D202" s="5">
        <f>206000000-'MLB Teams Payroll'!$C202</f>
        <v>75447643</v>
      </c>
      <c r="E202" s="5" t="s">
        <v>23</v>
      </c>
      <c r="F202" s="4">
        <v>2019.0</v>
      </c>
    </row>
    <row r="203" ht="15.75" customHeight="1">
      <c r="A203" s="3" t="s">
        <v>50</v>
      </c>
      <c r="B203" s="4" t="s">
        <v>7</v>
      </c>
      <c r="C203" s="5">
        <v>1.29334731E8</v>
      </c>
      <c r="D203" s="5">
        <f>206000000-'MLB Teams Payroll'!$C203</f>
        <v>76665269</v>
      </c>
      <c r="E203" s="5" t="s">
        <v>23</v>
      </c>
      <c r="F203" s="4">
        <v>2019.0</v>
      </c>
    </row>
    <row r="204" ht="15.75" customHeight="1">
      <c r="A204" s="3" t="s">
        <v>38</v>
      </c>
      <c r="B204" s="4" t="s">
        <v>113</v>
      </c>
      <c r="C204" s="5">
        <v>1.28891911E8</v>
      </c>
      <c r="D204" s="5">
        <f>206000000-'MLB Teams Payroll'!$C204</f>
        <v>77108089</v>
      </c>
      <c r="E204" s="5" t="s">
        <v>23</v>
      </c>
      <c r="F204" s="4">
        <v>2019.0</v>
      </c>
    </row>
    <row r="205" ht="15.75" customHeight="1">
      <c r="A205" s="3" t="s">
        <v>57</v>
      </c>
      <c r="B205" s="4" t="s">
        <v>114</v>
      </c>
      <c r="C205" s="5">
        <v>1.15472746E8</v>
      </c>
      <c r="D205" s="5">
        <f>206000000-'MLB Teams Payroll'!$C205</f>
        <v>90527254</v>
      </c>
      <c r="E205" s="5" t="s">
        <v>23</v>
      </c>
      <c r="F205" s="4">
        <v>2019.0</v>
      </c>
    </row>
    <row r="206" ht="15.75" customHeight="1">
      <c r="A206" s="3" t="s">
        <v>36</v>
      </c>
      <c r="B206" s="4" t="s">
        <v>78</v>
      </c>
      <c r="C206" s="5">
        <v>1.11416246E8</v>
      </c>
      <c r="D206" s="5">
        <f>206000000-'MLB Teams Payroll'!$C206</f>
        <v>94583754</v>
      </c>
      <c r="E206" s="5" t="s">
        <v>23</v>
      </c>
      <c r="F206" s="4">
        <v>2019.0</v>
      </c>
    </row>
    <row r="207" ht="15.75" customHeight="1">
      <c r="A207" s="7" t="s">
        <v>73</v>
      </c>
      <c r="B207" s="4" t="s">
        <v>42</v>
      </c>
      <c r="C207" s="5">
        <v>1.09251998E8</v>
      </c>
      <c r="D207" s="5">
        <f>206000000-'MLB Teams Payroll'!$C207</f>
        <v>96748002</v>
      </c>
      <c r="E207" s="5" t="s">
        <v>23</v>
      </c>
      <c r="F207" s="4">
        <v>2019.0</v>
      </c>
    </row>
    <row r="208" ht="15.75" customHeight="1">
      <c r="A208" s="3" t="s">
        <v>34</v>
      </c>
      <c r="B208" s="4" t="s">
        <v>115</v>
      </c>
      <c r="C208" s="5">
        <v>9.8676098E7</v>
      </c>
      <c r="D208" s="5">
        <f>206000000-'MLB Teams Payroll'!$C208</f>
        <v>107323902</v>
      </c>
      <c r="E208" s="5" t="s">
        <v>23</v>
      </c>
      <c r="F208" s="4">
        <v>2019.0</v>
      </c>
    </row>
    <row r="209" ht="15.75" customHeight="1">
      <c r="A209" s="3" t="s">
        <v>55</v>
      </c>
      <c r="B209" s="4" t="s">
        <v>13</v>
      </c>
      <c r="C209" s="5">
        <v>9.2440032E7</v>
      </c>
      <c r="D209" s="5">
        <f>206000000-'MLB Teams Payroll'!$C209</f>
        <v>113559968</v>
      </c>
      <c r="E209" s="5" t="s">
        <v>23</v>
      </c>
      <c r="F209" s="4">
        <v>2019.0</v>
      </c>
    </row>
    <row r="210" ht="15.75" customHeight="1">
      <c r="A210" s="3" t="s">
        <v>59</v>
      </c>
      <c r="B210" s="4" t="s">
        <v>116</v>
      </c>
      <c r="C210" s="5">
        <v>8.6022172E7</v>
      </c>
      <c r="D210" s="5">
        <f>206000000-'MLB Teams Payroll'!$C210</f>
        <v>119977828</v>
      </c>
      <c r="E210" s="5" t="s">
        <v>23</v>
      </c>
      <c r="F210" s="4">
        <v>2019.0</v>
      </c>
    </row>
    <row r="211" ht="15.75" customHeight="1">
      <c r="A211" s="3" t="s">
        <v>53</v>
      </c>
      <c r="B211" s="4" t="s">
        <v>74</v>
      </c>
      <c r="C211" s="5">
        <v>8.3762989E7</v>
      </c>
      <c r="D211" s="5">
        <f>206000000-'MLB Teams Payroll'!$C211</f>
        <v>122237011</v>
      </c>
      <c r="E211" s="5" t="s">
        <v>23</v>
      </c>
      <c r="F211" s="4">
        <v>2019.0</v>
      </c>
    </row>
    <row r="212" ht="15.75" customHeight="1">
      <c r="A212" s="3" t="s">
        <v>17</v>
      </c>
      <c r="B212" s="4" t="s">
        <v>117</v>
      </c>
      <c r="C212" s="5">
        <v>2.39481745E8</v>
      </c>
      <c r="D212" s="5">
        <f>197000000 - 'MLB Teams Payroll'!$C212</f>
        <v>-42481745</v>
      </c>
      <c r="E212" s="5">
        <v>1.1951091E7</v>
      </c>
      <c r="F212" s="4">
        <v>2018.0</v>
      </c>
    </row>
    <row r="213" ht="15.75" customHeight="1">
      <c r="A213" s="3" t="s">
        <v>48</v>
      </c>
      <c r="B213" s="4" t="s">
        <v>118</v>
      </c>
      <c r="C213" s="5">
        <v>2.04953656E8</v>
      </c>
      <c r="D213" s="5">
        <f>197000000 - 'MLB Teams Payroll'!$C213</f>
        <v>-7953656</v>
      </c>
      <c r="E213" s="5">
        <v>2386097.0</v>
      </c>
      <c r="F213" s="4">
        <v>2018.0</v>
      </c>
    </row>
    <row r="214" ht="15.75" customHeight="1">
      <c r="A214" s="3" t="s">
        <v>30</v>
      </c>
      <c r="B214" s="4" t="s">
        <v>119</v>
      </c>
      <c r="C214" s="5">
        <v>1.95716953E8</v>
      </c>
      <c r="D214" s="5">
        <f>197000000 - 'MLB Teams Payroll'!$C214</f>
        <v>1283047</v>
      </c>
      <c r="E214" s="5" t="s">
        <v>23</v>
      </c>
      <c r="F214" s="4">
        <v>2018.0</v>
      </c>
    </row>
    <row r="215" ht="15.75" customHeight="1">
      <c r="A215" s="3" t="s">
        <v>6</v>
      </c>
      <c r="B215" s="4" t="s">
        <v>120</v>
      </c>
      <c r="C215" s="5">
        <v>1.9503973E8</v>
      </c>
      <c r="D215" s="5">
        <f>197000000 - 'MLB Teams Payroll'!$C215</f>
        <v>1960270</v>
      </c>
      <c r="E215" s="5" t="s">
        <v>23</v>
      </c>
      <c r="F215" s="4">
        <v>2018.0</v>
      </c>
    </row>
    <row r="216" ht="15.75" customHeight="1">
      <c r="A216" s="3" t="s">
        <v>26</v>
      </c>
      <c r="B216" s="4" t="s">
        <v>121</v>
      </c>
      <c r="C216" s="5">
        <v>1.93316649E8</v>
      </c>
      <c r="D216" s="5">
        <f>197000000 - 'MLB Teams Payroll'!$C216</f>
        <v>3683351</v>
      </c>
      <c r="E216" s="5" t="s">
        <v>23</v>
      </c>
      <c r="F216" s="4">
        <v>2018.0</v>
      </c>
    </row>
    <row r="217" ht="15.75" customHeight="1">
      <c r="A217" s="3" t="s">
        <v>10</v>
      </c>
      <c r="B217" s="4" t="s">
        <v>122</v>
      </c>
      <c r="C217" s="5">
        <v>1.92980833E8</v>
      </c>
      <c r="D217" s="5">
        <f>197000000 - 'MLB Teams Payroll'!$C217</f>
        <v>4019167</v>
      </c>
      <c r="E217" s="5" t="s">
        <v>23</v>
      </c>
      <c r="F217" s="4">
        <v>2018.0</v>
      </c>
    </row>
    <row r="218" ht="15.75" customHeight="1">
      <c r="A218" s="3" t="s">
        <v>19</v>
      </c>
      <c r="B218" s="4" t="s">
        <v>123</v>
      </c>
      <c r="C218" s="5">
        <v>1.87386304E8</v>
      </c>
      <c r="D218" s="5">
        <f>197000000 - 'MLB Teams Payroll'!$C218</f>
        <v>9613696</v>
      </c>
      <c r="E218" s="5" t="s">
        <v>23</v>
      </c>
      <c r="F218" s="4">
        <v>2018.0</v>
      </c>
    </row>
    <row r="219" ht="15.75" customHeight="1">
      <c r="A219" s="3" t="s">
        <v>28</v>
      </c>
      <c r="B219" s="4" t="s">
        <v>124</v>
      </c>
      <c r="C219" s="5">
        <v>1.76748648E8</v>
      </c>
      <c r="D219" s="5">
        <f>197000000 - 'MLB Teams Payroll'!$C219</f>
        <v>20251352</v>
      </c>
      <c r="E219" s="5" t="s">
        <v>23</v>
      </c>
      <c r="F219" s="4">
        <v>2018.0</v>
      </c>
    </row>
    <row r="220" ht="15.75" customHeight="1">
      <c r="A220" s="3" t="s">
        <v>39</v>
      </c>
      <c r="B220" s="4" t="s">
        <v>125</v>
      </c>
      <c r="C220" s="5">
        <v>1.75703458E8</v>
      </c>
      <c r="D220" s="5">
        <f>197000000 - 'MLB Teams Payroll'!$C220</f>
        <v>21296542</v>
      </c>
      <c r="E220" s="5" t="s">
        <v>23</v>
      </c>
      <c r="F220" s="4">
        <v>2018.0</v>
      </c>
    </row>
    <row r="221" ht="15.75" customHeight="1">
      <c r="A221" s="3" t="s">
        <v>33</v>
      </c>
      <c r="B221" s="4" t="s">
        <v>126</v>
      </c>
      <c r="C221" s="5">
        <v>1.7097129E8</v>
      </c>
      <c r="D221" s="5">
        <f>197000000 - 'MLB Teams Payroll'!$C221</f>
        <v>26028710</v>
      </c>
      <c r="E221" s="5" t="s">
        <v>23</v>
      </c>
      <c r="F221" s="4">
        <v>2018.0</v>
      </c>
    </row>
    <row r="222" ht="15.75" customHeight="1">
      <c r="A222" s="3" t="s">
        <v>14</v>
      </c>
      <c r="B222" s="4" t="s">
        <v>119</v>
      </c>
      <c r="C222" s="5">
        <v>1.67138865E8</v>
      </c>
      <c r="D222" s="5">
        <f>197000000 - 'MLB Teams Payroll'!$C222</f>
        <v>29861135</v>
      </c>
      <c r="E222" s="5" t="s">
        <v>23</v>
      </c>
      <c r="F222" s="4">
        <v>2018.0</v>
      </c>
    </row>
    <row r="223" ht="15.75" customHeight="1">
      <c r="A223" s="3" t="s">
        <v>21</v>
      </c>
      <c r="B223" s="4" t="s">
        <v>127</v>
      </c>
      <c r="C223" s="5">
        <v>1.66342492E8</v>
      </c>
      <c r="D223" s="5">
        <f>197000000 - 'MLB Teams Payroll'!$C223</f>
        <v>30657508</v>
      </c>
      <c r="E223" s="5" t="s">
        <v>23</v>
      </c>
      <c r="F223" s="4">
        <v>2018.0</v>
      </c>
    </row>
    <row r="224" ht="15.75" customHeight="1">
      <c r="A224" s="3" t="s">
        <v>8</v>
      </c>
      <c r="B224" s="4" t="s">
        <v>128</v>
      </c>
      <c r="C224" s="5">
        <v>1.60308323E8</v>
      </c>
      <c r="D224" s="5">
        <f>197000000 - 'MLB Teams Payroll'!$C224</f>
        <v>36691677</v>
      </c>
      <c r="E224" s="5" t="s">
        <v>23</v>
      </c>
      <c r="F224" s="4">
        <v>2018.0</v>
      </c>
    </row>
    <row r="225" ht="15.75" customHeight="1">
      <c r="A225" s="3" t="s">
        <v>31</v>
      </c>
      <c r="B225" s="4" t="s">
        <v>118</v>
      </c>
      <c r="C225" s="5">
        <v>1.54962403E8</v>
      </c>
      <c r="D225" s="5">
        <f>197000000 - 'MLB Teams Payroll'!$C225</f>
        <v>42037597</v>
      </c>
      <c r="E225" s="5" t="s">
        <v>23</v>
      </c>
      <c r="F225" s="4">
        <v>2018.0</v>
      </c>
    </row>
    <row r="226" ht="15.75" customHeight="1">
      <c r="A226" s="3" t="s">
        <v>43</v>
      </c>
      <c r="B226" s="4" t="s">
        <v>129</v>
      </c>
      <c r="C226" s="5">
        <v>1.51189998E8</v>
      </c>
      <c r="D226" s="5">
        <f>197000000 - 'MLB Teams Payroll'!$C226</f>
        <v>45810002</v>
      </c>
      <c r="E226" s="5" t="s">
        <v>23</v>
      </c>
      <c r="F226" s="4">
        <v>2018.0</v>
      </c>
    </row>
    <row r="227" ht="15.75" customHeight="1">
      <c r="A227" s="3" t="s">
        <v>50</v>
      </c>
      <c r="B227" s="4" t="s">
        <v>130</v>
      </c>
      <c r="C227" s="5">
        <v>1.50825627E8</v>
      </c>
      <c r="D227" s="5">
        <f>197000000 - 'MLB Teams Payroll'!$C227</f>
        <v>46174373</v>
      </c>
      <c r="E227" s="5" t="s">
        <v>23</v>
      </c>
      <c r="F227" s="4">
        <v>2018.0</v>
      </c>
    </row>
    <row r="228" ht="15.75" customHeight="1">
      <c r="A228" s="3" t="s">
        <v>34</v>
      </c>
      <c r="B228" s="4" t="s">
        <v>131</v>
      </c>
      <c r="C228" s="5">
        <v>1.48720053E8</v>
      </c>
      <c r="D228" s="5">
        <f>197000000 - 'MLB Teams Payroll'!$C228</f>
        <v>48279947</v>
      </c>
      <c r="E228" s="5" t="s">
        <v>23</v>
      </c>
      <c r="F228" s="4">
        <v>2018.0</v>
      </c>
    </row>
    <row r="229" ht="15.75" customHeight="1">
      <c r="A229" s="3" t="s">
        <v>46</v>
      </c>
      <c r="B229" s="4" t="s">
        <v>132</v>
      </c>
      <c r="C229" s="5">
        <v>1.43820218E8</v>
      </c>
      <c r="D229" s="5">
        <f>197000000 - 'MLB Teams Payroll'!$C229</f>
        <v>53179782</v>
      </c>
      <c r="E229" s="5" t="s">
        <v>23</v>
      </c>
      <c r="F229" s="4">
        <v>2018.0</v>
      </c>
    </row>
    <row r="230" ht="15.75" customHeight="1">
      <c r="A230" s="3" t="s">
        <v>24</v>
      </c>
      <c r="B230" s="4" t="s">
        <v>133</v>
      </c>
      <c r="C230" s="5">
        <v>1.3602406E8</v>
      </c>
      <c r="D230" s="5">
        <f>197000000 - 'MLB Teams Payroll'!$C230</f>
        <v>60975940</v>
      </c>
      <c r="E230" s="5" t="s">
        <v>23</v>
      </c>
      <c r="F230" s="4">
        <v>2018.0</v>
      </c>
    </row>
    <row r="231" ht="15.75" customHeight="1">
      <c r="A231" s="3" t="s">
        <v>38</v>
      </c>
      <c r="B231" s="4" t="s">
        <v>134</v>
      </c>
      <c r="C231" s="5">
        <v>1.35349421E8</v>
      </c>
      <c r="D231" s="5">
        <f>197000000 - 'MLB Teams Payroll'!$C231</f>
        <v>61650579</v>
      </c>
      <c r="E231" s="5" t="s">
        <v>23</v>
      </c>
      <c r="F231" s="4">
        <v>2018.0</v>
      </c>
    </row>
    <row r="232" ht="15.75" customHeight="1">
      <c r="A232" s="3" t="s">
        <v>36</v>
      </c>
      <c r="B232" s="4" t="s">
        <v>135</v>
      </c>
      <c r="C232" s="5">
        <v>1.32026511E8</v>
      </c>
      <c r="D232" s="5">
        <f>197000000 - 'MLB Teams Payroll'!$C232</f>
        <v>64973489</v>
      </c>
      <c r="E232" s="5" t="s">
        <v>23</v>
      </c>
      <c r="F232" s="4">
        <v>2018.0</v>
      </c>
    </row>
    <row r="233" ht="15.75" customHeight="1">
      <c r="A233" s="3" t="s">
        <v>15</v>
      </c>
      <c r="B233" s="4" t="s">
        <v>136</v>
      </c>
      <c r="C233" s="5">
        <v>1.30216502E8</v>
      </c>
      <c r="D233" s="5">
        <f>197000000 - 'MLB Teams Payroll'!$C233</f>
        <v>66783498</v>
      </c>
      <c r="E233" s="5" t="s">
        <v>23</v>
      </c>
      <c r="F233" s="4">
        <v>2018.0</v>
      </c>
    </row>
    <row r="234" ht="15.75" customHeight="1">
      <c r="A234" s="3" t="s">
        <v>41</v>
      </c>
      <c r="B234" s="4" t="s">
        <v>137</v>
      </c>
      <c r="C234" s="5">
        <v>1.21053771E8</v>
      </c>
      <c r="D234" s="5">
        <f>197000000 - 'MLB Teams Payroll'!$C234</f>
        <v>75946229</v>
      </c>
      <c r="E234" s="5" t="s">
        <v>23</v>
      </c>
      <c r="F234" s="4">
        <v>2018.0</v>
      </c>
    </row>
    <row r="235" ht="15.75" customHeight="1">
      <c r="A235" s="3" t="s">
        <v>12</v>
      </c>
      <c r="B235" s="4" t="s">
        <v>124</v>
      </c>
      <c r="C235" s="5">
        <v>1.1919454E8</v>
      </c>
      <c r="D235" s="5">
        <f>197000000 - 'MLB Teams Payroll'!$C235</f>
        <v>77805460</v>
      </c>
      <c r="E235" s="5" t="s">
        <v>23</v>
      </c>
      <c r="F235" s="4">
        <v>2018.0</v>
      </c>
    </row>
    <row r="236" ht="15.75" customHeight="1">
      <c r="A236" s="3" t="s">
        <v>45</v>
      </c>
      <c r="B236" s="4" t="s">
        <v>127</v>
      </c>
      <c r="C236" s="5">
        <v>1.11594229E8</v>
      </c>
      <c r="D236" s="5">
        <f>197000000 - 'MLB Teams Payroll'!$C236</f>
        <v>85405771</v>
      </c>
      <c r="E236" s="5" t="s">
        <v>23</v>
      </c>
      <c r="F236" s="4">
        <v>2018.0</v>
      </c>
    </row>
    <row r="237" ht="15.75" customHeight="1">
      <c r="A237" s="3" t="s">
        <v>59</v>
      </c>
      <c r="B237" s="4" t="s">
        <v>138</v>
      </c>
      <c r="C237" s="5">
        <v>1.08086007E8</v>
      </c>
      <c r="D237" s="5">
        <f>197000000 - 'MLB Teams Payroll'!$C237</f>
        <v>88913993</v>
      </c>
      <c r="E237" s="5" t="s">
        <v>23</v>
      </c>
      <c r="F237" s="4">
        <v>2018.0</v>
      </c>
    </row>
    <row r="238" ht="15.75" customHeight="1">
      <c r="A238" s="3" t="s">
        <v>53</v>
      </c>
      <c r="B238" s="4" t="s">
        <v>139</v>
      </c>
      <c r="C238" s="5">
        <v>1.03837992E8</v>
      </c>
      <c r="D238" s="5">
        <f>197000000 - 'MLB Teams Payroll'!$C238</f>
        <v>93162008</v>
      </c>
      <c r="E238" s="5" t="s">
        <v>23</v>
      </c>
      <c r="F238" s="4">
        <v>2018.0</v>
      </c>
    </row>
    <row r="239" ht="15.75" customHeight="1">
      <c r="A239" s="7" t="s">
        <v>73</v>
      </c>
      <c r="B239" s="4" t="s">
        <v>140</v>
      </c>
      <c r="C239" s="5">
        <v>9.6478025E7</v>
      </c>
      <c r="D239" s="5">
        <f>197000000 - 'MLB Teams Payroll'!$C239</f>
        <v>100521975</v>
      </c>
      <c r="E239" s="5" t="s">
        <v>23</v>
      </c>
      <c r="F239" s="4">
        <v>2018.0</v>
      </c>
    </row>
    <row r="240" ht="15.75" customHeight="1">
      <c r="A240" s="3" t="s">
        <v>55</v>
      </c>
      <c r="B240" s="4" t="s">
        <v>133</v>
      </c>
      <c r="C240" s="5">
        <v>9.5568294E7</v>
      </c>
      <c r="D240" s="5">
        <f>197000000 - 'MLB Teams Payroll'!$C240</f>
        <v>101431706</v>
      </c>
      <c r="E240" s="5" t="s">
        <v>23</v>
      </c>
      <c r="F240" s="4">
        <v>2018.0</v>
      </c>
    </row>
    <row r="241" ht="15.75" customHeight="1">
      <c r="A241" s="3" t="s">
        <v>57</v>
      </c>
      <c r="B241" s="4" t="s">
        <v>141</v>
      </c>
      <c r="C241" s="5">
        <v>8.2889649E7</v>
      </c>
      <c r="D241" s="5">
        <f>197000000 - 'MLB Teams Payroll'!$C241</f>
        <v>114110351</v>
      </c>
      <c r="E241" s="5" t="s">
        <v>23</v>
      </c>
      <c r="F241" s="4">
        <v>2018.0</v>
      </c>
    </row>
    <row r="242" ht="15.75" customHeight="1">
      <c r="A242" s="3" t="s">
        <v>6</v>
      </c>
      <c r="B242" s="4" t="s">
        <v>142</v>
      </c>
      <c r="C242" s="5">
        <v>2.53633893E8</v>
      </c>
      <c r="D242" s="5">
        <f>195000000 - 'MLB Teams Payroll'!$C242</f>
        <v>-58633893</v>
      </c>
      <c r="E242" s="5">
        <v>4.0102198E7</v>
      </c>
      <c r="F242" s="4">
        <v>2017.0</v>
      </c>
    </row>
    <row r="243" ht="15.75" customHeight="1">
      <c r="A243" s="3" t="s">
        <v>10</v>
      </c>
      <c r="B243" s="4" t="s">
        <v>130</v>
      </c>
      <c r="C243" s="5">
        <v>2.24224707E8</v>
      </c>
      <c r="D243" s="5">
        <f>195000000 - 'MLB Teams Payroll'!$C243</f>
        <v>-29224707</v>
      </c>
      <c r="E243" s="5">
        <v>1.5719318E7</v>
      </c>
      <c r="F243" s="4">
        <v>2017.0</v>
      </c>
    </row>
    <row r="244" ht="15.75" customHeight="1">
      <c r="A244" s="3" t="s">
        <v>38</v>
      </c>
      <c r="B244" s="4" t="s">
        <v>134</v>
      </c>
      <c r="C244" s="5">
        <v>2.07204947E8</v>
      </c>
      <c r="D244" s="5">
        <f>195000000 - 'MLB Teams Payroll'!$C244</f>
        <v>-12204947</v>
      </c>
      <c r="E244" s="5">
        <v>3661484.0</v>
      </c>
      <c r="F244" s="4">
        <v>2017.0</v>
      </c>
    </row>
    <row r="245" ht="15.75" customHeight="1">
      <c r="A245" s="3" t="s">
        <v>30</v>
      </c>
      <c r="B245" s="4" t="s">
        <v>134</v>
      </c>
      <c r="C245" s="5">
        <v>2.03266385E8</v>
      </c>
      <c r="D245" s="5">
        <f>195000000 - 'MLB Teams Payroll'!$C245</f>
        <v>-8266385</v>
      </c>
      <c r="E245" s="5">
        <v>4133193.0</v>
      </c>
      <c r="F245" s="4">
        <v>2017.0</v>
      </c>
    </row>
    <row r="246" ht="15.75" customHeight="1">
      <c r="A246" s="3" t="s">
        <v>48</v>
      </c>
      <c r="B246" s="4" t="s">
        <v>140</v>
      </c>
      <c r="C246" s="5">
        <v>2.02240951E8</v>
      </c>
      <c r="D246" s="5">
        <f>195000000 - 'MLB Teams Payroll'!$C246</f>
        <v>-7240951</v>
      </c>
      <c r="E246" s="5">
        <v>1448190.0</v>
      </c>
      <c r="F246" s="4">
        <v>2017.0</v>
      </c>
    </row>
    <row r="247" ht="15.75" customHeight="1">
      <c r="A247" s="3" t="s">
        <v>17</v>
      </c>
      <c r="B247" s="4" t="s">
        <v>143</v>
      </c>
      <c r="C247" s="5">
        <v>1.91888422E8</v>
      </c>
      <c r="D247" s="5">
        <f>195000000 - 'MLB Teams Payroll'!$C247</f>
        <v>3111578</v>
      </c>
      <c r="E247" s="5" t="s">
        <v>23</v>
      </c>
      <c r="F247" s="4">
        <v>2017.0</v>
      </c>
    </row>
    <row r="248" ht="15.75" customHeight="1">
      <c r="A248" s="3" t="s">
        <v>28</v>
      </c>
      <c r="B248" s="4" t="s">
        <v>124</v>
      </c>
      <c r="C248" s="5">
        <v>1.88553926E8</v>
      </c>
      <c r="D248" s="5">
        <f>195000000 - 'MLB Teams Payroll'!$C248</f>
        <v>6446074</v>
      </c>
      <c r="E248" s="5" t="s">
        <v>23</v>
      </c>
      <c r="F248" s="4">
        <v>2017.0</v>
      </c>
    </row>
    <row r="249" ht="15.75" customHeight="1">
      <c r="A249" s="3" t="s">
        <v>36</v>
      </c>
      <c r="B249" s="4" t="s">
        <v>124</v>
      </c>
      <c r="C249" s="5">
        <v>1.85102611E8</v>
      </c>
      <c r="D249" s="5">
        <f>195000000 - 'MLB Teams Payroll'!$C249</f>
        <v>9897389</v>
      </c>
      <c r="E249" s="5" t="s">
        <v>23</v>
      </c>
      <c r="F249" s="4">
        <v>2017.0</v>
      </c>
    </row>
    <row r="250" ht="15.75" customHeight="1">
      <c r="A250" s="3" t="s">
        <v>26</v>
      </c>
      <c r="B250" s="4" t="s">
        <v>144</v>
      </c>
      <c r="C250" s="5">
        <v>1.83310943E8</v>
      </c>
      <c r="D250" s="5">
        <f>195000000 - 'MLB Teams Payroll'!$C250</f>
        <v>11689057</v>
      </c>
      <c r="E250" s="5" t="s">
        <v>23</v>
      </c>
      <c r="F250" s="4">
        <v>2017.0</v>
      </c>
    </row>
    <row r="251" ht="15.75" customHeight="1">
      <c r="A251" s="3" t="s">
        <v>39</v>
      </c>
      <c r="B251" s="4" t="s">
        <v>145</v>
      </c>
      <c r="C251" s="5">
        <v>1.82701709E8</v>
      </c>
      <c r="D251" s="5">
        <f>195000000 - 'MLB Teams Payroll'!$C251</f>
        <v>12298291</v>
      </c>
      <c r="E251" s="5" t="s">
        <v>23</v>
      </c>
      <c r="F251" s="4">
        <v>2017.0</v>
      </c>
    </row>
    <row r="252" ht="15.75" customHeight="1">
      <c r="A252" s="3" t="s">
        <v>34</v>
      </c>
      <c r="B252" s="4" t="s">
        <v>146</v>
      </c>
      <c r="C252" s="5">
        <v>1.79936646E8</v>
      </c>
      <c r="D252" s="5">
        <f>195000000 - 'MLB Teams Payroll'!$C252</f>
        <v>15063354</v>
      </c>
      <c r="E252" s="5" t="s">
        <v>23</v>
      </c>
      <c r="F252" s="4">
        <v>2017.0</v>
      </c>
    </row>
    <row r="253" ht="15.75" customHeight="1">
      <c r="A253" s="3" t="s">
        <v>33</v>
      </c>
      <c r="B253" s="4" t="s">
        <v>132</v>
      </c>
      <c r="C253" s="5">
        <v>1.74721701E8</v>
      </c>
      <c r="D253" s="5">
        <f>195000000 - 'MLB Teams Payroll'!$C253</f>
        <v>20278299</v>
      </c>
      <c r="E253" s="5" t="s">
        <v>23</v>
      </c>
      <c r="F253" s="4">
        <v>2017.0</v>
      </c>
    </row>
    <row r="254" ht="15.75" customHeight="1">
      <c r="A254" s="3" t="s">
        <v>21</v>
      </c>
      <c r="B254" s="4" t="s">
        <v>132</v>
      </c>
      <c r="C254" s="5">
        <v>1.73238067E8</v>
      </c>
      <c r="D254" s="5">
        <f>195000000 - 'MLB Teams Payroll'!$C254</f>
        <v>21761933</v>
      </c>
      <c r="E254" s="5" t="s">
        <v>23</v>
      </c>
      <c r="F254" s="4">
        <v>2017.0</v>
      </c>
    </row>
    <row r="255" ht="15.75" customHeight="1">
      <c r="A255" s="3" t="s">
        <v>14</v>
      </c>
      <c r="B255" s="4" t="s">
        <v>147</v>
      </c>
      <c r="C255" s="5">
        <v>1.66152534E8</v>
      </c>
      <c r="D255" s="5">
        <f>195000000 - 'MLB Teams Payroll'!$C255</f>
        <v>28847466</v>
      </c>
      <c r="E255" s="5" t="s">
        <v>23</v>
      </c>
      <c r="F255" s="4">
        <v>2017.0</v>
      </c>
    </row>
    <row r="256" ht="15.75" customHeight="1">
      <c r="A256" s="3" t="s">
        <v>8</v>
      </c>
      <c r="B256" s="4" t="s">
        <v>148</v>
      </c>
      <c r="C256" s="5">
        <v>1.64660792E8</v>
      </c>
      <c r="D256" s="5">
        <f>195000000 - 'MLB Teams Payroll'!$C256</f>
        <v>30339208</v>
      </c>
      <c r="E256" s="5" t="s">
        <v>23</v>
      </c>
      <c r="F256" s="4">
        <v>2017.0</v>
      </c>
    </row>
    <row r="257" ht="15.75" customHeight="1">
      <c r="A257" s="3" t="s">
        <v>43</v>
      </c>
      <c r="B257" s="4" t="s">
        <v>149</v>
      </c>
      <c r="C257" s="5">
        <v>1.56003532E8</v>
      </c>
      <c r="D257" s="5">
        <f>195000000 - 'MLB Teams Payroll'!$C257</f>
        <v>38996468</v>
      </c>
      <c r="E257" s="5" t="s">
        <v>23</v>
      </c>
      <c r="F257" s="4">
        <v>2017.0</v>
      </c>
    </row>
    <row r="258" ht="15.75" customHeight="1">
      <c r="A258" s="3" t="s">
        <v>59</v>
      </c>
      <c r="B258" s="4" t="s">
        <v>128</v>
      </c>
      <c r="C258" s="5">
        <v>1.54892372E8</v>
      </c>
      <c r="D258" s="5">
        <f>195000000 - 'MLB Teams Payroll'!$C258</f>
        <v>40107628</v>
      </c>
      <c r="E258" s="5" t="s">
        <v>23</v>
      </c>
      <c r="F258" s="4">
        <v>2017.0</v>
      </c>
    </row>
    <row r="259" ht="15.75" customHeight="1">
      <c r="A259" s="3" t="s">
        <v>50</v>
      </c>
      <c r="B259" s="4" t="s">
        <v>150</v>
      </c>
      <c r="C259" s="5">
        <v>1.51800196E8</v>
      </c>
      <c r="D259" s="5">
        <f>195000000 - 'MLB Teams Payroll'!$C259</f>
        <v>43199804</v>
      </c>
      <c r="E259" s="5" t="s">
        <v>23</v>
      </c>
      <c r="F259" s="4">
        <v>2017.0</v>
      </c>
    </row>
    <row r="260" ht="15.75" customHeight="1">
      <c r="A260" s="3" t="s">
        <v>19</v>
      </c>
      <c r="B260" s="4" t="s">
        <v>151</v>
      </c>
      <c r="C260" s="5">
        <v>1.4047535E8</v>
      </c>
      <c r="D260" s="5">
        <f>195000000 - 'MLB Teams Payroll'!$C260</f>
        <v>54524650</v>
      </c>
      <c r="E260" s="5" t="s">
        <v>23</v>
      </c>
      <c r="F260" s="4">
        <v>2017.0</v>
      </c>
    </row>
    <row r="261" ht="15.75" customHeight="1">
      <c r="A261" s="3" t="s">
        <v>24</v>
      </c>
      <c r="B261" s="4" t="s">
        <v>152</v>
      </c>
      <c r="C261" s="5">
        <v>1.33400668E8</v>
      </c>
      <c r="D261" s="5">
        <f>195000000 - 'MLB Teams Payroll'!$C261</f>
        <v>61599332</v>
      </c>
      <c r="E261" s="5" t="s">
        <v>23</v>
      </c>
      <c r="F261" s="4">
        <v>2017.0</v>
      </c>
    </row>
    <row r="262" ht="15.75" customHeight="1">
      <c r="A262" s="3" t="s">
        <v>46</v>
      </c>
      <c r="B262" s="4" t="s">
        <v>153</v>
      </c>
      <c r="C262" s="5">
        <v>1.23573527E8</v>
      </c>
      <c r="D262" s="5">
        <f>195000000 - 'MLB Teams Payroll'!$C262</f>
        <v>71426473</v>
      </c>
      <c r="E262" s="5" t="s">
        <v>23</v>
      </c>
      <c r="F262" s="4">
        <v>2017.0</v>
      </c>
    </row>
    <row r="263" ht="15.75" customHeight="1">
      <c r="A263" s="3" t="s">
        <v>12</v>
      </c>
      <c r="B263" s="4" t="s">
        <v>136</v>
      </c>
      <c r="C263" s="5">
        <v>1.19643867E8</v>
      </c>
      <c r="D263" s="5">
        <f>195000000 - 'MLB Teams Payroll'!$C263</f>
        <v>75356133</v>
      </c>
      <c r="E263" s="5" t="s">
        <v>23</v>
      </c>
      <c r="F263" s="4">
        <v>2017.0</v>
      </c>
    </row>
    <row r="264" ht="15.75" customHeight="1">
      <c r="A264" s="3" t="s">
        <v>31</v>
      </c>
      <c r="B264" s="4" t="s">
        <v>143</v>
      </c>
      <c r="C264" s="5">
        <v>1.1586879E8</v>
      </c>
      <c r="D264" s="5">
        <f>195000000 - 'MLB Teams Payroll'!$C264</f>
        <v>79131210</v>
      </c>
      <c r="E264" s="5" t="s">
        <v>23</v>
      </c>
      <c r="F264" s="4">
        <v>2017.0</v>
      </c>
    </row>
    <row r="265" ht="15.75" customHeight="1">
      <c r="A265" s="3" t="s">
        <v>53</v>
      </c>
      <c r="B265" s="4" t="s">
        <v>146</v>
      </c>
      <c r="C265" s="5">
        <v>1.09460508E8</v>
      </c>
      <c r="D265" s="5">
        <f>195000000 - 'MLB Teams Payroll'!$C265</f>
        <v>85539492</v>
      </c>
      <c r="E265" s="5" t="s">
        <v>23</v>
      </c>
      <c r="F265" s="4">
        <v>2017.0</v>
      </c>
    </row>
    <row r="266" ht="15.75" customHeight="1">
      <c r="A266" s="3" t="s">
        <v>45</v>
      </c>
      <c r="B266" s="4" t="s">
        <v>154</v>
      </c>
      <c r="C266" s="5">
        <v>1.08415573E8</v>
      </c>
      <c r="D266" s="5">
        <f>195000000 - 'MLB Teams Payroll'!$C266</f>
        <v>86584427</v>
      </c>
      <c r="E266" s="5" t="s">
        <v>23</v>
      </c>
      <c r="F266" s="4">
        <v>2017.0</v>
      </c>
    </row>
    <row r="267" ht="15.75" customHeight="1">
      <c r="A267" s="3" t="s">
        <v>57</v>
      </c>
      <c r="B267" s="4" t="s">
        <v>127</v>
      </c>
      <c r="C267" s="5">
        <v>1.0087754E8</v>
      </c>
      <c r="D267" s="5">
        <f>195000000 - 'MLB Teams Payroll'!$C267</f>
        <v>94122460</v>
      </c>
      <c r="E267" s="5" t="s">
        <v>23</v>
      </c>
      <c r="F267" s="4">
        <v>2017.0</v>
      </c>
    </row>
    <row r="268" ht="15.75" customHeight="1">
      <c r="A268" s="3" t="s">
        <v>55</v>
      </c>
      <c r="B268" s="4" t="s">
        <v>124</v>
      </c>
      <c r="C268" s="5">
        <v>1.00355005E8</v>
      </c>
      <c r="D268" s="5">
        <f>195000000 - 'MLB Teams Payroll'!$C268</f>
        <v>94644995</v>
      </c>
      <c r="E268" s="5" t="s">
        <v>23</v>
      </c>
      <c r="F268" s="4">
        <v>2017.0</v>
      </c>
    </row>
    <row r="269" ht="15.75" customHeight="1">
      <c r="A269" s="3" t="s">
        <v>15</v>
      </c>
      <c r="B269" s="4" t="s">
        <v>155</v>
      </c>
      <c r="C269" s="5">
        <v>9.883748E7</v>
      </c>
      <c r="D269" s="5">
        <f>195000000 - 'MLB Teams Payroll'!$C269</f>
        <v>96162520</v>
      </c>
      <c r="E269" s="5" t="s">
        <v>23</v>
      </c>
      <c r="F269" s="4">
        <v>2017.0</v>
      </c>
    </row>
    <row r="270" ht="15.75" customHeight="1">
      <c r="A270" s="7" t="s">
        <v>73</v>
      </c>
      <c r="B270" s="4" t="s">
        <v>146</v>
      </c>
      <c r="C270" s="5">
        <v>9.004412E7</v>
      </c>
      <c r="D270" s="5">
        <f>195000000 - 'MLB Teams Payroll'!$C270</f>
        <v>104955880</v>
      </c>
      <c r="E270" s="5" t="s">
        <v>23</v>
      </c>
      <c r="F270" s="4">
        <v>2017.0</v>
      </c>
    </row>
    <row r="271" ht="15.75" customHeight="1">
      <c r="A271" s="3" t="s">
        <v>41</v>
      </c>
      <c r="B271" s="4" t="s">
        <v>156</v>
      </c>
      <c r="C271" s="5">
        <v>7.8827919E7</v>
      </c>
      <c r="D271" s="5">
        <f>195000000 - 'MLB Teams Payroll'!$C271</f>
        <v>116172081</v>
      </c>
      <c r="E271" s="5" t="s">
        <v>23</v>
      </c>
      <c r="F271" s="4">
        <v>2017.0</v>
      </c>
    </row>
    <row r="272" ht="15.75" customHeight="1">
      <c r="A272" s="3" t="s">
        <v>6</v>
      </c>
      <c r="B272" s="4" t="s">
        <v>130</v>
      </c>
      <c r="C272" s="5">
        <v>2.52551634E8</v>
      </c>
      <c r="D272" s="5">
        <f>189000000 - 'MLB Teams Payroll'!$C272</f>
        <v>-63551634</v>
      </c>
      <c r="E272" s="5">
        <v>3.1775817E7</v>
      </c>
      <c r="F272" s="4">
        <v>2016.0</v>
      </c>
    </row>
    <row r="273" ht="15.75" customHeight="1">
      <c r="A273" s="3" t="s">
        <v>10</v>
      </c>
      <c r="B273" s="4" t="s">
        <v>157</v>
      </c>
      <c r="C273" s="5">
        <v>2.43793306E8</v>
      </c>
      <c r="D273" s="5">
        <f>189000000 - 'MLB Teams Payroll'!$C273</f>
        <v>-54793306</v>
      </c>
      <c r="E273" s="5">
        <v>2.7396653E7</v>
      </c>
      <c r="F273" s="4">
        <v>2016.0</v>
      </c>
    </row>
    <row r="274" ht="15.75" customHeight="1">
      <c r="A274" s="3" t="s">
        <v>38</v>
      </c>
      <c r="B274" s="4" t="s">
        <v>158</v>
      </c>
      <c r="C274" s="5">
        <v>2.12044266E8</v>
      </c>
      <c r="D274" s="5">
        <f>189000000 - 'MLB Teams Payroll'!$C274</f>
        <v>-23044266</v>
      </c>
      <c r="E274" s="5">
        <v>4032747.0</v>
      </c>
      <c r="F274" s="4">
        <v>2016.0</v>
      </c>
    </row>
    <row r="275" ht="15.75" customHeight="1">
      <c r="A275" s="3" t="s">
        <v>26</v>
      </c>
      <c r="B275" s="4" t="s">
        <v>159</v>
      </c>
      <c r="C275" s="5">
        <v>2.0591798E8</v>
      </c>
      <c r="D275" s="5">
        <f>189000000 - 'MLB Teams Payroll'!$C275</f>
        <v>-16917980</v>
      </c>
      <c r="E275" s="5">
        <v>2960647.0</v>
      </c>
      <c r="F275" s="4">
        <v>2016.0</v>
      </c>
    </row>
    <row r="276" ht="15.75" customHeight="1">
      <c r="A276" s="3" t="s">
        <v>17</v>
      </c>
      <c r="B276" s="4" t="s">
        <v>143</v>
      </c>
      <c r="C276" s="5">
        <v>2.04012716E8</v>
      </c>
      <c r="D276" s="5">
        <f>189000000 - 'MLB Teams Payroll'!$C276</f>
        <v>-15012716</v>
      </c>
      <c r="E276" s="5">
        <v>4503815.0</v>
      </c>
      <c r="F276" s="4">
        <v>2016.0</v>
      </c>
    </row>
    <row r="277" ht="15.75" customHeight="1">
      <c r="A277" s="3" t="s">
        <v>30</v>
      </c>
      <c r="B277" s="4" t="s">
        <v>149</v>
      </c>
      <c r="C277" s="5">
        <v>2.00315484E8</v>
      </c>
      <c r="D277" s="5">
        <f>189000000 - 'MLB Teams Payroll'!$C277</f>
        <v>-11315484</v>
      </c>
      <c r="E277" s="5">
        <v>3394645.0</v>
      </c>
      <c r="F277" s="4">
        <v>2016.0</v>
      </c>
    </row>
    <row r="278" ht="15.75" customHeight="1">
      <c r="A278" s="3" t="s">
        <v>28</v>
      </c>
      <c r="B278" s="4" t="s">
        <v>160</v>
      </c>
      <c r="C278" s="5">
        <v>1.85760439E8</v>
      </c>
      <c r="D278" s="5">
        <f>189000000 - 'MLB Teams Payroll'!$C278</f>
        <v>3239561</v>
      </c>
      <c r="E278" s="5" t="s">
        <v>23</v>
      </c>
      <c r="F278" s="4">
        <v>2016.0</v>
      </c>
    </row>
    <row r="279" ht="15.75" customHeight="1">
      <c r="A279" s="3" t="s">
        <v>39</v>
      </c>
      <c r="B279" s="4" t="s">
        <v>156</v>
      </c>
      <c r="C279" s="5">
        <v>1.78298756E8</v>
      </c>
      <c r="D279" s="5">
        <f>189000000 - 'MLB Teams Payroll'!$C279</f>
        <v>10701244</v>
      </c>
      <c r="E279" s="5" t="s">
        <v>23</v>
      </c>
      <c r="F279" s="4">
        <v>2016.0</v>
      </c>
    </row>
    <row r="280" ht="15.75" customHeight="1">
      <c r="A280" s="3" t="s">
        <v>36</v>
      </c>
      <c r="B280" s="4" t="s">
        <v>161</v>
      </c>
      <c r="C280" s="5">
        <v>1.77170963E8</v>
      </c>
      <c r="D280" s="5">
        <f>189000000 - 'MLB Teams Payroll'!$C280</f>
        <v>11829037</v>
      </c>
      <c r="E280" s="5" t="s">
        <v>23</v>
      </c>
      <c r="F280" s="4">
        <v>2016.0</v>
      </c>
    </row>
    <row r="281" ht="15.75" customHeight="1">
      <c r="A281" s="3" t="s">
        <v>33</v>
      </c>
      <c r="B281" s="4" t="s">
        <v>156</v>
      </c>
      <c r="C281" s="5">
        <v>1.71340795E8</v>
      </c>
      <c r="D281" s="5">
        <f>189000000 - 'MLB Teams Payroll'!$C281</f>
        <v>17659205</v>
      </c>
      <c r="E281" s="5" t="s">
        <v>23</v>
      </c>
      <c r="F281" s="4">
        <v>2016.0</v>
      </c>
    </row>
    <row r="282" ht="15.75" customHeight="1">
      <c r="A282" s="3" t="s">
        <v>48</v>
      </c>
      <c r="B282" s="4" t="s">
        <v>162</v>
      </c>
      <c r="C282" s="5">
        <v>1.70876032E8</v>
      </c>
      <c r="D282" s="5">
        <f>189000000 - 'MLB Teams Payroll'!$C282</f>
        <v>18123968</v>
      </c>
      <c r="E282" s="5" t="s">
        <v>23</v>
      </c>
      <c r="F282" s="4">
        <v>2016.0</v>
      </c>
    </row>
    <row r="283" ht="15.75" customHeight="1">
      <c r="A283" s="3" t="s">
        <v>34</v>
      </c>
      <c r="B283" s="4" t="s">
        <v>126</v>
      </c>
      <c r="C283" s="5">
        <v>1.69272704E8</v>
      </c>
      <c r="D283" s="5">
        <f>189000000 - 'MLB Teams Payroll'!$C283</f>
        <v>19727296</v>
      </c>
      <c r="E283" s="5" t="s">
        <v>23</v>
      </c>
      <c r="F283" s="4">
        <v>2016.0</v>
      </c>
    </row>
    <row r="284" ht="15.75" customHeight="1">
      <c r="A284" s="3" t="s">
        <v>21</v>
      </c>
      <c r="B284" s="4" t="s">
        <v>162</v>
      </c>
      <c r="C284" s="5">
        <v>1.64642718E8</v>
      </c>
      <c r="D284" s="5">
        <f>189000000 - 'MLB Teams Payroll'!$C284</f>
        <v>24357282</v>
      </c>
      <c r="E284" s="5" t="s">
        <v>23</v>
      </c>
      <c r="F284" s="4">
        <v>2016.0</v>
      </c>
    </row>
    <row r="285" ht="15.75" customHeight="1">
      <c r="A285" s="3" t="s">
        <v>14</v>
      </c>
      <c r="B285" s="4" t="s">
        <v>126</v>
      </c>
      <c r="C285" s="5">
        <v>1.64312432E8</v>
      </c>
      <c r="D285" s="5">
        <f>189000000 - 'MLB Teams Payroll'!$C285</f>
        <v>24687568</v>
      </c>
      <c r="E285" s="5" t="s">
        <v>23</v>
      </c>
      <c r="F285" s="4">
        <v>2016.0</v>
      </c>
    </row>
    <row r="286" ht="15.75" customHeight="1">
      <c r="A286" s="3" t="s">
        <v>8</v>
      </c>
      <c r="B286" s="4" t="s">
        <v>149</v>
      </c>
      <c r="C286" s="5">
        <v>1.56801072E8</v>
      </c>
      <c r="D286" s="5">
        <f>189000000 - 'MLB Teams Payroll'!$C286</f>
        <v>32198928</v>
      </c>
      <c r="E286" s="5" t="s">
        <v>23</v>
      </c>
      <c r="F286" s="4">
        <v>2016.0</v>
      </c>
    </row>
    <row r="287" ht="15.75" customHeight="1">
      <c r="A287" s="3" t="s">
        <v>57</v>
      </c>
      <c r="B287" s="4" t="s">
        <v>132</v>
      </c>
      <c r="C287" s="5">
        <v>1.3260381E8</v>
      </c>
      <c r="D287" s="5">
        <f>189000000 - 'MLB Teams Payroll'!$C287</f>
        <v>56396190</v>
      </c>
      <c r="E287" s="5" t="s">
        <v>23</v>
      </c>
      <c r="F287" s="4">
        <v>2016.0</v>
      </c>
    </row>
    <row r="288" ht="15.75" customHeight="1">
      <c r="A288" s="3" t="s">
        <v>24</v>
      </c>
      <c r="B288" s="4" t="s">
        <v>163</v>
      </c>
      <c r="C288" s="5">
        <v>1.28348481E8</v>
      </c>
      <c r="D288" s="5">
        <f>189000000 - 'MLB Teams Payroll'!$C288</f>
        <v>60651519</v>
      </c>
      <c r="E288" s="5" t="s">
        <v>23</v>
      </c>
      <c r="F288" s="4">
        <v>2016.0</v>
      </c>
    </row>
    <row r="289" ht="15.75" customHeight="1">
      <c r="A289" s="3" t="s">
        <v>19</v>
      </c>
      <c r="B289" s="4" t="s">
        <v>157</v>
      </c>
      <c r="C289" s="5">
        <v>1.24363133E8</v>
      </c>
      <c r="D289" s="5">
        <f>189000000 - 'MLB Teams Payroll'!$C289</f>
        <v>64636867</v>
      </c>
      <c r="E289" s="5" t="s">
        <v>23</v>
      </c>
      <c r="F289" s="4">
        <v>2016.0</v>
      </c>
    </row>
    <row r="290" ht="15.75" customHeight="1">
      <c r="A290" s="3" t="s">
        <v>59</v>
      </c>
      <c r="B290" s="4" t="s">
        <v>164</v>
      </c>
      <c r="C290" s="5">
        <v>1.23574388E8</v>
      </c>
      <c r="D290" s="5">
        <f>189000000 - 'MLB Teams Payroll'!$C290</f>
        <v>65425612</v>
      </c>
      <c r="E290" s="5" t="s">
        <v>23</v>
      </c>
      <c r="F290" s="4">
        <v>2016.0</v>
      </c>
    </row>
    <row r="291" ht="15.75" customHeight="1">
      <c r="A291" s="3" t="s">
        <v>46</v>
      </c>
      <c r="B291" s="4" t="s">
        <v>165</v>
      </c>
      <c r="C291" s="5">
        <v>1.22601625E8</v>
      </c>
      <c r="D291" s="5">
        <f>189000000 - 'MLB Teams Payroll'!$C291</f>
        <v>66398375</v>
      </c>
      <c r="E291" s="5" t="s">
        <v>23</v>
      </c>
      <c r="F291" s="4">
        <v>2016.0</v>
      </c>
    </row>
    <row r="292" ht="15.75" customHeight="1">
      <c r="A292" s="3" t="s">
        <v>50</v>
      </c>
      <c r="B292" s="4" t="s">
        <v>166</v>
      </c>
      <c r="C292" s="5">
        <v>1.17561917E8</v>
      </c>
      <c r="D292" s="5">
        <f>189000000 - 'MLB Teams Payroll'!$C292</f>
        <v>71438083</v>
      </c>
      <c r="E292" s="5" t="s">
        <v>23</v>
      </c>
      <c r="F292" s="4">
        <v>2016.0</v>
      </c>
    </row>
    <row r="293" ht="15.75" customHeight="1">
      <c r="A293" s="3" t="s">
        <v>43</v>
      </c>
      <c r="B293" s="4" t="s">
        <v>146</v>
      </c>
      <c r="C293" s="5">
        <v>1.16767428E8</v>
      </c>
      <c r="D293" s="5">
        <f>189000000 - 'MLB Teams Payroll'!$C293</f>
        <v>72232572</v>
      </c>
      <c r="E293" s="5" t="s">
        <v>23</v>
      </c>
      <c r="F293" s="4">
        <v>2016.0</v>
      </c>
    </row>
    <row r="294" ht="15.75" customHeight="1">
      <c r="A294" s="3" t="s">
        <v>31</v>
      </c>
      <c r="B294" s="4" t="s">
        <v>167</v>
      </c>
      <c r="C294" s="5">
        <v>1.14826495E8</v>
      </c>
      <c r="D294" s="5">
        <f>189000000 - 'MLB Teams Payroll'!$C294</f>
        <v>74173505</v>
      </c>
      <c r="E294" s="5" t="s">
        <v>23</v>
      </c>
      <c r="F294" s="4">
        <v>2016.0</v>
      </c>
    </row>
    <row r="295" ht="15.75" customHeight="1">
      <c r="A295" s="3" t="s">
        <v>53</v>
      </c>
      <c r="B295" s="4" t="s">
        <v>168</v>
      </c>
      <c r="C295" s="5">
        <v>1.09671516E8</v>
      </c>
      <c r="D295" s="5">
        <f>189000000 - 'MLB Teams Payroll'!$C295</f>
        <v>79328484</v>
      </c>
      <c r="E295" s="5" t="s">
        <v>23</v>
      </c>
      <c r="F295" s="4">
        <v>2016.0</v>
      </c>
    </row>
    <row r="296" ht="15.75" customHeight="1">
      <c r="A296" s="3" t="s">
        <v>15</v>
      </c>
      <c r="B296" s="4" t="s">
        <v>154</v>
      </c>
      <c r="C296" s="5">
        <v>1.07311252E8</v>
      </c>
      <c r="D296" s="5">
        <f>189000000 - 'MLB Teams Payroll'!$C296</f>
        <v>81688748</v>
      </c>
      <c r="E296" s="5" t="s">
        <v>23</v>
      </c>
      <c r="F296" s="4">
        <v>2016.0</v>
      </c>
    </row>
    <row r="297" ht="15.75" customHeight="1">
      <c r="A297" s="3" t="s">
        <v>12</v>
      </c>
      <c r="B297" s="4" t="s">
        <v>155</v>
      </c>
      <c r="C297" s="5">
        <v>1.03112427E8</v>
      </c>
      <c r="D297" s="5">
        <f>189000000 - 'MLB Teams Payroll'!$C297</f>
        <v>85887573</v>
      </c>
      <c r="E297" s="5" t="s">
        <v>23</v>
      </c>
      <c r="F297" s="4">
        <v>2016.0</v>
      </c>
    </row>
    <row r="298" ht="15.75" customHeight="1">
      <c r="A298" s="7" t="s">
        <v>73</v>
      </c>
      <c r="B298" s="4" t="s">
        <v>167</v>
      </c>
      <c r="C298" s="5">
        <v>1.01408603E8</v>
      </c>
      <c r="D298" s="5">
        <f>189000000 - 'MLB Teams Payroll'!$C298</f>
        <v>87591397</v>
      </c>
      <c r="E298" s="5" t="s">
        <v>23</v>
      </c>
      <c r="F298" s="4">
        <v>2016.0</v>
      </c>
    </row>
    <row r="299" ht="15.75" customHeight="1">
      <c r="A299" s="3" t="s">
        <v>45</v>
      </c>
      <c r="B299" s="4" t="s">
        <v>154</v>
      </c>
      <c r="C299" s="5">
        <v>1.01320745E8</v>
      </c>
      <c r="D299" s="5">
        <f>189000000 - 'MLB Teams Payroll'!$C299</f>
        <v>87679255</v>
      </c>
      <c r="E299" s="5" t="s">
        <v>23</v>
      </c>
      <c r="F299" s="4">
        <v>2016.0</v>
      </c>
    </row>
    <row r="300" ht="15.75" customHeight="1">
      <c r="A300" s="3" t="s">
        <v>55</v>
      </c>
      <c r="B300" s="4" t="s">
        <v>154</v>
      </c>
      <c r="C300" s="5">
        <v>8.1283926E7</v>
      </c>
      <c r="D300" s="5">
        <f>189000000 - 'MLB Teams Payroll'!$C300</f>
        <v>107716074</v>
      </c>
      <c r="E300" s="5" t="s">
        <v>23</v>
      </c>
      <c r="F300" s="4">
        <v>2016.0</v>
      </c>
    </row>
    <row r="301" ht="15.75" customHeight="1">
      <c r="A301" s="3" t="s">
        <v>41</v>
      </c>
      <c r="B301" s="4" t="s">
        <v>119</v>
      </c>
      <c r="C301" s="5">
        <v>7.1808702E7</v>
      </c>
      <c r="D301" s="5">
        <f>189000000 - 'MLB Teams Payroll'!$C301</f>
        <v>117191298</v>
      </c>
      <c r="E301" s="5" t="s">
        <v>23</v>
      </c>
      <c r="F301" s="4">
        <v>2016.0</v>
      </c>
    </row>
    <row r="302" ht="15.75" customHeight="1">
      <c r="A302" s="3" t="s">
        <v>6</v>
      </c>
      <c r="B302" s="4" t="s">
        <v>144</v>
      </c>
      <c r="C302" s="5">
        <v>2.97918681E8</v>
      </c>
      <c r="D302" s="5">
        <f>189000000 - 'MLB Teams Payroll'!$C302</f>
        <v>-108918681</v>
      </c>
      <c r="E302" s="5">
        <v>4.3567472E7</v>
      </c>
      <c r="F302" s="4">
        <v>2015.0</v>
      </c>
    </row>
    <row r="303" ht="15.75" customHeight="1">
      <c r="A303" s="3" t="s">
        <v>10</v>
      </c>
      <c r="B303" s="4" t="s">
        <v>149</v>
      </c>
      <c r="C303" s="5">
        <v>2.41217569E8</v>
      </c>
      <c r="D303" s="5">
        <f>189000000 - 'MLB Teams Payroll'!$C303</f>
        <v>-52217569</v>
      </c>
      <c r="E303" s="5">
        <v>2.6108785E7</v>
      </c>
      <c r="F303" s="4">
        <v>2015.0</v>
      </c>
    </row>
    <row r="304" ht="15.75" customHeight="1">
      <c r="A304" s="3" t="s">
        <v>17</v>
      </c>
      <c r="B304" s="4" t="s">
        <v>132</v>
      </c>
      <c r="C304" s="5">
        <v>1.99491005E8</v>
      </c>
      <c r="D304" s="5">
        <f>189000000 - 'MLB Teams Payroll'!$C304</f>
        <v>-10491005</v>
      </c>
      <c r="E304" s="5">
        <v>1835926.0</v>
      </c>
      <c r="F304" s="4">
        <v>2015.0</v>
      </c>
    </row>
    <row r="305" ht="15.75" customHeight="1">
      <c r="A305" s="3" t="s">
        <v>30</v>
      </c>
      <c r="B305" s="4" t="s">
        <v>157</v>
      </c>
      <c r="C305" s="5">
        <v>1.96619525E8</v>
      </c>
      <c r="D305" s="5">
        <f>189000000 - 'MLB Teams Payroll'!$C305</f>
        <v>-7619525</v>
      </c>
      <c r="E305" s="5">
        <v>1333417.0</v>
      </c>
      <c r="F305" s="4">
        <v>2015.0</v>
      </c>
    </row>
    <row r="306" ht="15.75" customHeight="1">
      <c r="A306" s="3" t="s">
        <v>38</v>
      </c>
      <c r="B306" s="4" t="s">
        <v>160</v>
      </c>
      <c r="C306" s="5">
        <v>1.81612247E8</v>
      </c>
      <c r="D306" s="5">
        <f>189000000 - 'MLB Teams Payroll'!$C306</f>
        <v>7387753</v>
      </c>
      <c r="E306" s="5" t="s">
        <v>23</v>
      </c>
      <c r="F306" s="4">
        <v>2015.0</v>
      </c>
    </row>
    <row r="307" ht="15.75" customHeight="1">
      <c r="A307" s="3" t="s">
        <v>48</v>
      </c>
      <c r="B307" s="4" t="s">
        <v>134</v>
      </c>
      <c r="C307" s="5">
        <v>1.78378122E8</v>
      </c>
      <c r="D307" s="5">
        <f>189000000 - 'MLB Teams Payroll'!$C307</f>
        <v>10621878</v>
      </c>
      <c r="E307" s="5" t="s">
        <v>23</v>
      </c>
      <c r="F307" s="4">
        <v>2015.0</v>
      </c>
    </row>
    <row r="308" ht="15.75" customHeight="1">
      <c r="A308" s="3" t="s">
        <v>28</v>
      </c>
      <c r="B308" s="4" t="s">
        <v>147</v>
      </c>
      <c r="C308" s="5">
        <v>1.72269725E8</v>
      </c>
      <c r="D308" s="5">
        <f>189000000 - 'MLB Teams Payroll'!$C308</f>
        <v>16730275</v>
      </c>
      <c r="E308" s="5" t="s">
        <v>23</v>
      </c>
      <c r="F308" s="4">
        <v>2015.0</v>
      </c>
    </row>
    <row r="309" ht="15.75" customHeight="1">
      <c r="A309" s="3" t="s">
        <v>21</v>
      </c>
      <c r="B309" s="4" t="s">
        <v>162</v>
      </c>
      <c r="C309" s="5">
        <v>1.70456151E8</v>
      </c>
      <c r="D309" s="5">
        <f>189000000 - 'MLB Teams Payroll'!$C309</f>
        <v>18543849</v>
      </c>
      <c r="E309" s="5" t="s">
        <v>23</v>
      </c>
      <c r="F309" s="4">
        <v>2015.0</v>
      </c>
    </row>
    <row r="310" ht="15.75" customHeight="1">
      <c r="A310" s="3" t="s">
        <v>12</v>
      </c>
      <c r="B310" s="4" t="s">
        <v>155</v>
      </c>
      <c r="C310" s="5">
        <v>1.59928885E8</v>
      </c>
      <c r="D310" s="5">
        <f>189000000 - 'MLB Teams Payroll'!$C310</f>
        <v>29071115</v>
      </c>
      <c r="E310" s="5" t="s">
        <v>23</v>
      </c>
      <c r="F310" s="4">
        <v>2015.0</v>
      </c>
    </row>
    <row r="311" ht="15.75" customHeight="1">
      <c r="A311" s="3" t="s">
        <v>26</v>
      </c>
      <c r="B311" s="4" t="s">
        <v>140</v>
      </c>
      <c r="C311" s="5">
        <v>1.54907624E8</v>
      </c>
      <c r="D311" s="5">
        <f>189000000 - 'MLB Teams Payroll'!$C311</f>
        <v>34092376</v>
      </c>
      <c r="E311" s="5" t="s">
        <v>23</v>
      </c>
      <c r="F311" s="4">
        <v>2015.0</v>
      </c>
    </row>
    <row r="312" ht="15.75" customHeight="1">
      <c r="A312" s="3" t="s">
        <v>36</v>
      </c>
      <c r="B312" s="4" t="s">
        <v>162</v>
      </c>
      <c r="C312" s="5">
        <v>1.52148299E8</v>
      </c>
      <c r="D312" s="5">
        <f>189000000 - 'MLB Teams Payroll'!$C312</f>
        <v>36851701</v>
      </c>
      <c r="E312" s="5" t="s">
        <v>23</v>
      </c>
      <c r="F312" s="4">
        <v>2015.0</v>
      </c>
    </row>
    <row r="313" ht="15.75" customHeight="1">
      <c r="A313" s="3" t="s">
        <v>39</v>
      </c>
      <c r="B313" s="4" t="s">
        <v>122</v>
      </c>
      <c r="C313" s="5">
        <v>1.46590405E8</v>
      </c>
      <c r="D313" s="5">
        <f>189000000 - 'MLB Teams Payroll'!$C313</f>
        <v>42409595</v>
      </c>
      <c r="E313" s="5" t="s">
        <v>23</v>
      </c>
      <c r="F313" s="4">
        <v>2015.0</v>
      </c>
    </row>
    <row r="314" ht="15.75" customHeight="1">
      <c r="A314" s="3" t="s">
        <v>33</v>
      </c>
      <c r="B314" s="4" t="s">
        <v>147</v>
      </c>
      <c r="C314" s="5">
        <v>1.44984811E8</v>
      </c>
      <c r="D314" s="5">
        <f>189000000 - 'MLB Teams Payroll'!$C314</f>
        <v>44015189</v>
      </c>
      <c r="E314" s="5" t="s">
        <v>23</v>
      </c>
      <c r="F314" s="4">
        <v>2015.0</v>
      </c>
    </row>
    <row r="315" ht="15.75" customHeight="1">
      <c r="A315" s="3" t="s">
        <v>45</v>
      </c>
      <c r="B315" s="4" t="s">
        <v>126</v>
      </c>
      <c r="C315" s="5">
        <v>1.42347016E8</v>
      </c>
      <c r="D315" s="5">
        <f>189000000 - 'MLB Teams Payroll'!$C315</f>
        <v>46652984</v>
      </c>
      <c r="E315" s="5" t="s">
        <v>23</v>
      </c>
      <c r="F315" s="4">
        <v>2015.0</v>
      </c>
    </row>
    <row r="316" ht="15.75" customHeight="1">
      <c r="A316" s="3" t="s">
        <v>57</v>
      </c>
      <c r="B316" s="4" t="s">
        <v>132</v>
      </c>
      <c r="C316" s="5">
        <v>1.4197436E8</v>
      </c>
      <c r="D316" s="5">
        <f>189000000 - 'MLB Teams Payroll'!$C316</f>
        <v>47025640</v>
      </c>
      <c r="E316" s="5" t="s">
        <v>23</v>
      </c>
      <c r="F316" s="4">
        <v>2015.0</v>
      </c>
    </row>
    <row r="317" ht="15.75" customHeight="1">
      <c r="A317" s="3" t="s">
        <v>14</v>
      </c>
      <c r="B317" s="4" t="s">
        <v>154</v>
      </c>
      <c r="C317" s="5">
        <v>1.41304346E8</v>
      </c>
      <c r="D317" s="5">
        <f>189000000 - 'MLB Teams Payroll'!$C317</f>
        <v>47695654</v>
      </c>
      <c r="E317" s="5" t="s">
        <v>23</v>
      </c>
      <c r="F317" s="4">
        <v>2015.0</v>
      </c>
    </row>
    <row r="318" ht="15.75" customHeight="1">
      <c r="A318" s="3" t="s">
        <v>34</v>
      </c>
      <c r="B318" s="4" t="s">
        <v>147</v>
      </c>
      <c r="C318" s="5">
        <v>1.37673605E8</v>
      </c>
      <c r="D318" s="5">
        <f>189000000 - 'MLB Teams Payroll'!$C318</f>
        <v>51326395</v>
      </c>
      <c r="E318" s="5" t="s">
        <v>23</v>
      </c>
      <c r="F318" s="4">
        <v>2015.0</v>
      </c>
    </row>
    <row r="319" ht="15.75" customHeight="1">
      <c r="A319" s="3" t="s">
        <v>24</v>
      </c>
      <c r="B319" s="4" t="s">
        <v>127</v>
      </c>
      <c r="C319" s="5">
        <v>1.3355543E8</v>
      </c>
      <c r="D319" s="5">
        <f>189000000 - 'MLB Teams Payroll'!$C319</f>
        <v>55444570</v>
      </c>
      <c r="E319" s="5" t="s">
        <v>23</v>
      </c>
      <c r="F319" s="4">
        <v>2015.0</v>
      </c>
    </row>
    <row r="320" ht="15.75" customHeight="1">
      <c r="A320" s="3" t="s">
        <v>15</v>
      </c>
      <c r="B320" s="4" t="s">
        <v>156</v>
      </c>
      <c r="C320" s="5">
        <v>1.28745141E8</v>
      </c>
      <c r="D320" s="5">
        <f>189000000 - 'MLB Teams Payroll'!$C320</f>
        <v>60254859</v>
      </c>
      <c r="E320" s="5" t="s">
        <v>23</v>
      </c>
      <c r="F320" s="4">
        <v>2015.0</v>
      </c>
    </row>
    <row r="321" ht="15.75" customHeight="1">
      <c r="A321" s="3" t="s">
        <v>46</v>
      </c>
      <c r="B321" s="4" t="s">
        <v>153</v>
      </c>
      <c r="C321" s="5">
        <v>1.25214107E8</v>
      </c>
      <c r="D321" s="5">
        <f>189000000 - 'MLB Teams Payroll'!$C321</f>
        <v>63785893</v>
      </c>
      <c r="E321" s="5" t="s">
        <v>23</v>
      </c>
      <c r="F321" s="4">
        <v>2015.0</v>
      </c>
    </row>
    <row r="322" ht="15.75" customHeight="1">
      <c r="A322" s="3" t="s">
        <v>8</v>
      </c>
      <c r="B322" s="4" t="s">
        <v>160</v>
      </c>
      <c r="C322" s="5">
        <v>1.22656625E8</v>
      </c>
      <c r="D322" s="5">
        <f>189000000 - 'MLB Teams Payroll'!$C322</f>
        <v>66343375</v>
      </c>
      <c r="E322" s="5" t="s">
        <v>23</v>
      </c>
      <c r="F322" s="4">
        <v>2015.0</v>
      </c>
    </row>
    <row r="323" ht="15.75" customHeight="1">
      <c r="A323" s="3" t="s">
        <v>53</v>
      </c>
      <c r="B323" s="4" t="s">
        <v>148</v>
      </c>
      <c r="C323" s="5">
        <v>1.16055536E8</v>
      </c>
      <c r="D323" s="5">
        <f>189000000 - 'MLB Teams Payroll'!$C323</f>
        <v>72944464</v>
      </c>
      <c r="E323" s="5" t="s">
        <v>23</v>
      </c>
      <c r="F323" s="4">
        <v>2015.0</v>
      </c>
    </row>
    <row r="324" ht="15.75" customHeight="1">
      <c r="A324" s="3" t="s">
        <v>50</v>
      </c>
      <c r="B324" s="4" t="s">
        <v>154</v>
      </c>
      <c r="C324" s="5">
        <v>1.14391562E8</v>
      </c>
      <c r="D324" s="5">
        <f>189000000 - 'MLB Teams Payroll'!$C324</f>
        <v>74608438</v>
      </c>
      <c r="E324" s="5" t="s">
        <v>23</v>
      </c>
      <c r="F324" s="4">
        <v>2015.0</v>
      </c>
    </row>
    <row r="325" ht="15.75" customHeight="1">
      <c r="A325" s="3" t="s">
        <v>43</v>
      </c>
      <c r="B325" s="4" t="s">
        <v>167</v>
      </c>
      <c r="C325" s="5">
        <v>1.09892058E8</v>
      </c>
      <c r="D325" s="5">
        <f>189000000 - 'MLB Teams Payroll'!$C325</f>
        <v>79107942</v>
      </c>
      <c r="E325" s="5" t="s">
        <v>23</v>
      </c>
      <c r="F325" s="4">
        <v>2015.0</v>
      </c>
    </row>
    <row r="326" ht="15.75" customHeight="1">
      <c r="A326" s="3" t="s">
        <v>41</v>
      </c>
      <c r="B326" s="4" t="s">
        <v>154</v>
      </c>
      <c r="C326" s="5">
        <v>1.08416829E8</v>
      </c>
      <c r="D326" s="5">
        <f>189000000 - 'MLB Teams Payroll'!$C326</f>
        <v>80583171</v>
      </c>
      <c r="E326" s="5" t="s">
        <v>23</v>
      </c>
      <c r="F326" s="4">
        <v>2015.0</v>
      </c>
    </row>
    <row r="327" ht="15.75" customHeight="1">
      <c r="A327" s="3" t="s">
        <v>59</v>
      </c>
      <c r="B327" s="4" t="s">
        <v>156</v>
      </c>
      <c r="C327" s="5">
        <v>1.03414289E8</v>
      </c>
      <c r="D327" s="5">
        <f>189000000 - 'MLB Teams Payroll'!$C327</f>
        <v>85585711</v>
      </c>
      <c r="E327" s="5" t="s">
        <v>23</v>
      </c>
      <c r="F327" s="4">
        <v>2015.0</v>
      </c>
    </row>
    <row r="328" ht="15.75" customHeight="1">
      <c r="A328" s="3" t="s">
        <v>31</v>
      </c>
      <c r="B328" s="4" t="s">
        <v>169</v>
      </c>
      <c r="C328" s="5">
        <v>1.00034774E8</v>
      </c>
      <c r="D328" s="5">
        <f>189000000 - 'MLB Teams Payroll'!$C328</f>
        <v>88965226</v>
      </c>
      <c r="E328" s="5" t="s">
        <v>23</v>
      </c>
      <c r="F328" s="4">
        <v>2015.0</v>
      </c>
    </row>
    <row r="329" ht="15.75" customHeight="1">
      <c r="A329" s="7" t="s">
        <v>73</v>
      </c>
      <c r="B329" s="4" t="s">
        <v>134</v>
      </c>
      <c r="C329" s="5">
        <v>9.8119255E7</v>
      </c>
      <c r="D329" s="5">
        <f>189000000 - 'MLB Teams Payroll'!$C329</f>
        <v>90880745</v>
      </c>
      <c r="E329" s="5" t="s">
        <v>23</v>
      </c>
      <c r="F329" s="4">
        <v>2015.0</v>
      </c>
    </row>
    <row r="330" ht="15.75" customHeight="1">
      <c r="A330" s="3" t="s">
        <v>19</v>
      </c>
      <c r="B330" s="4" t="s">
        <v>170</v>
      </c>
      <c r="C330" s="5">
        <v>9.5778605E7</v>
      </c>
      <c r="D330" s="5">
        <f>189000000 - 'MLB Teams Payroll'!$C330</f>
        <v>93221395</v>
      </c>
      <c r="E330" s="5" t="s">
        <v>23</v>
      </c>
      <c r="F330" s="4">
        <v>2015.0</v>
      </c>
    </row>
    <row r="331" ht="15.75" customHeight="1">
      <c r="A331" s="3" t="s">
        <v>55</v>
      </c>
      <c r="B331" s="4" t="s">
        <v>154</v>
      </c>
      <c r="C331" s="5">
        <v>8.8710779E7</v>
      </c>
      <c r="D331" s="5">
        <f>189000000 - 'MLB Teams Payroll'!$C331</f>
        <v>100289221</v>
      </c>
      <c r="E331" s="5" t="s">
        <v>23</v>
      </c>
      <c r="F331" s="4">
        <v>2015.0</v>
      </c>
    </row>
    <row r="332" ht="15.75" customHeight="1">
      <c r="A332" s="3" t="s">
        <v>6</v>
      </c>
      <c r="B332" s="4" t="s">
        <v>171</v>
      </c>
      <c r="C332" s="5">
        <v>2.77737082E8</v>
      </c>
      <c r="D332" s="5">
        <f>189000000 - 'MLB Teams Payroll'!$C332</f>
        <v>-88737082</v>
      </c>
      <c r="E332" s="5">
        <v>2.6621125E7</v>
      </c>
      <c r="F332" s="4">
        <v>2014.0</v>
      </c>
    </row>
    <row r="333" ht="15.75" customHeight="1">
      <c r="A333" s="3" t="s">
        <v>10</v>
      </c>
      <c r="B333" s="4" t="s">
        <v>157</v>
      </c>
      <c r="C333" s="5">
        <v>2.25653896E8</v>
      </c>
      <c r="D333" s="5">
        <f>189000000 - 'MLB Teams Payroll'!$C333</f>
        <v>-36653896</v>
      </c>
      <c r="E333" s="5">
        <v>1.8326948E7</v>
      </c>
      <c r="F333" s="4">
        <v>2014.0</v>
      </c>
    </row>
    <row r="334" ht="15.75" customHeight="1">
      <c r="A334" s="3" t="s">
        <v>38</v>
      </c>
      <c r="B334" s="4" t="s">
        <v>133</v>
      </c>
      <c r="C334" s="5">
        <v>1.87003795E8</v>
      </c>
      <c r="D334" s="5">
        <f>189000000 - 'MLB Teams Payroll'!$C334</f>
        <v>1996205</v>
      </c>
      <c r="E334" s="5" t="s">
        <v>23</v>
      </c>
      <c r="F334" s="4">
        <v>2014.0</v>
      </c>
    </row>
    <row r="335" ht="15.75" customHeight="1">
      <c r="A335" s="3" t="s">
        <v>12</v>
      </c>
      <c r="B335" s="4" t="s">
        <v>119</v>
      </c>
      <c r="C335" s="5">
        <v>1.85965235E8</v>
      </c>
      <c r="D335" s="5">
        <f>189000000 - 'MLB Teams Payroll'!$C335</f>
        <v>3034765</v>
      </c>
      <c r="E335" s="5" t="s">
        <v>23</v>
      </c>
      <c r="F335" s="4">
        <v>2014.0</v>
      </c>
    </row>
    <row r="336" ht="15.75" customHeight="1">
      <c r="A336" s="3" t="s">
        <v>17</v>
      </c>
      <c r="B336" s="4" t="s">
        <v>155</v>
      </c>
      <c r="C336" s="5">
        <v>1.85922329E8</v>
      </c>
      <c r="D336" s="5">
        <f>189000000 - 'MLB Teams Payroll'!$C336</f>
        <v>3077671</v>
      </c>
      <c r="E336" s="5" t="s">
        <v>23</v>
      </c>
      <c r="F336" s="4">
        <v>2014.0</v>
      </c>
    </row>
    <row r="337" ht="15.75" customHeight="1">
      <c r="A337" s="3" t="s">
        <v>28</v>
      </c>
      <c r="B337" s="4" t="s">
        <v>172</v>
      </c>
      <c r="C337" s="5">
        <v>1.80374764E8</v>
      </c>
      <c r="D337" s="5">
        <f>189000000 - 'MLB Teams Payroll'!$C337</f>
        <v>8625236</v>
      </c>
      <c r="E337" s="5" t="s">
        <v>23</v>
      </c>
      <c r="F337" s="4">
        <v>2014.0</v>
      </c>
    </row>
    <row r="338" ht="15.75" customHeight="1">
      <c r="A338" s="3" t="s">
        <v>30</v>
      </c>
      <c r="B338" s="4" t="s">
        <v>125</v>
      </c>
      <c r="C338" s="5">
        <v>1.79834439E8</v>
      </c>
      <c r="D338" s="5">
        <f>189000000 - 'MLB Teams Payroll'!$C338</f>
        <v>9165561</v>
      </c>
      <c r="E338" s="5" t="s">
        <v>23</v>
      </c>
      <c r="F338" s="4">
        <v>2014.0</v>
      </c>
    </row>
    <row r="339" ht="15.75" customHeight="1">
      <c r="A339" s="3" t="s">
        <v>21</v>
      </c>
      <c r="B339" s="4" t="s">
        <v>127</v>
      </c>
      <c r="C339" s="5">
        <v>1.66383748E8</v>
      </c>
      <c r="D339" s="5">
        <f>189000000 - 'MLB Teams Payroll'!$C339</f>
        <v>22616252</v>
      </c>
      <c r="E339" s="5" t="s">
        <v>23</v>
      </c>
      <c r="F339" s="4">
        <v>2014.0</v>
      </c>
    </row>
    <row r="340" ht="15.75" customHeight="1">
      <c r="A340" s="3" t="s">
        <v>48</v>
      </c>
      <c r="B340" s="4" t="s">
        <v>173</v>
      </c>
      <c r="C340" s="5">
        <v>1.54775315E8</v>
      </c>
      <c r="D340" s="5">
        <f>189000000 - 'MLB Teams Payroll'!$C340</f>
        <v>34224685</v>
      </c>
      <c r="E340" s="5" t="s">
        <v>23</v>
      </c>
      <c r="F340" s="4">
        <v>2014.0</v>
      </c>
    </row>
    <row r="341" ht="15.75" customHeight="1">
      <c r="A341" s="3" t="s">
        <v>24</v>
      </c>
      <c r="B341" s="4" t="s">
        <v>169</v>
      </c>
      <c r="C341" s="5">
        <v>1.49020887E8</v>
      </c>
      <c r="D341" s="5">
        <f>189000000 - 'MLB Teams Payroll'!$C341</f>
        <v>39979113</v>
      </c>
      <c r="E341" s="5" t="s">
        <v>23</v>
      </c>
      <c r="F341" s="4">
        <v>2014.0</v>
      </c>
    </row>
    <row r="342" ht="15.75" customHeight="1">
      <c r="A342" s="3" t="s">
        <v>45</v>
      </c>
      <c r="B342" s="4" t="s">
        <v>147</v>
      </c>
      <c r="C342" s="5">
        <v>1.41424382E8</v>
      </c>
      <c r="D342" s="5">
        <f>189000000 - 'MLB Teams Payroll'!$C342</f>
        <v>47575618</v>
      </c>
      <c r="E342" s="5" t="s">
        <v>23</v>
      </c>
      <c r="F342" s="4">
        <v>2014.0</v>
      </c>
    </row>
    <row r="343" ht="15.75" customHeight="1">
      <c r="A343" s="3" t="s">
        <v>39</v>
      </c>
      <c r="B343" s="4" t="s">
        <v>133</v>
      </c>
      <c r="C343" s="5">
        <v>1.38533204E8</v>
      </c>
      <c r="D343" s="5">
        <f>189000000 - 'MLB Teams Payroll'!$C343</f>
        <v>50466796</v>
      </c>
      <c r="E343" s="5" t="s">
        <v>23</v>
      </c>
      <c r="F343" s="4">
        <v>2014.0</v>
      </c>
    </row>
    <row r="344" ht="15.75" customHeight="1">
      <c r="A344" s="3" t="s">
        <v>14</v>
      </c>
      <c r="B344" s="4" t="s">
        <v>145</v>
      </c>
      <c r="C344" s="5">
        <v>1.37190349E8</v>
      </c>
      <c r="D344" s="5">
        <f>189000000 - 'MLB Teams Payroll'!$C344</f>
        <v>51809651</v>
      </c>
      <c r="E344" s="5" t="s">
        <v>23</v>
      </c>
      <c r="F344" s="4">
        <v>2014.0</v>
      </c>
    </row>
    <row r="345" ht="15.75" customHeight="1">
      <c r="A345" s="3" t="s">
        <v>31</v>
      </c>
      <c r="B345" s="4" t="s">
        <v>161</v>
      </c>
      <c r="C345" s="5">
        <v>1.24531537E8</v>
      </c>
      <c r="D345" s="5">
        <f>189000000 - 'MLB Teams Payroll'!$C345</f>
        <v>64468463</v>
      </c>
      <c r="E345" s="5" t="s">
        <v>23</v>
      </c>
      <c r="F345" s="4">
        <v>2014.0</v>
      </c>
    </row>
    <row r="346" ht="15.75" customHeight="1">
      <c r="A346" s="3" t="s">
        <v>34</v>
      </c>
      <c r="B346" s="4" t="s">
        <v>173</v>
      </c>
      <c r="C346" s="5">
        <v>1.22657573E8</v>
      </c>
      <c r="D346" s="5">
        <f>189000000 - 'MLB Teams Payroll'!$C346</f>
        <v>66342427</v>
      </c>
      <c r="E346" s="5" t="s">
        <v>23</v>
      </c>
      <c r="F346" s="4">
        <v>2014.0</v>
      </c>
    </row>
    <row r="347" ht="15.75" customHeight="1">
      <c r="A347" s="3" t="s">
        <v>33</v>
      </c>
      <c r="B347" s="4" t="s">
        <v>149</v>
      </c>
      <c r="C347" s="5">
        <v>1.18220885E8</v>
      </c>
      <c r="D347" s="5">
        <f>189000000 - 'MLB Teams Payroll'!$C347</f>
        <v>70779115</v>
      </c>
      <c r="E347" s="5" t="s">
        <v>23</v>
      </c>
      <c r="F347" s="4">
        <v>2014.0</v>
      </c>
    </row>
    <row r="348" ht="15.75" customHeight="1">
      <c r="A348" s="3" t="s">
        <v>41</v>
      </c>
      <c r="B348" s="4" t="s">
        <v>118</v>
      </c>
      <c r="C348" s="5">
        <v>1.1519525E8</v>
      </c>
      <c r="D348" s="5">
        <f>189000000 - 'MLB Teams Payroll'!$C348</f>
        <v>73804750</v>
      </c>
      <c r="E348" s="5" t="s">
        <v>23</v>
      </c>
      <c r="F348" s="4">
        <v>2014.0</v>
      </c>
    </row>
    <row r="349" ht="15.75" customHeight="1">
      <c r="A349" s="3" t="s">
        <v>26</v>
      </c>
      <c r="B349" s="4" t="s">
        <v>119</v>
      </c>
      <c r="C349" s="5">
        <v>1.11520741E8</v>
      </c>
      <c r="D349" s="5">
        <f>189000000 - 'MLB Teams Payroll'!$C349</f>
        <v>77479259</v>
      </c>
      <c r="E349" s="5" t="s">
        <v>23</v>
      </c>
      <c r="F349" s="4">
        <v>2014.0</v>
      </c>
    </row>
    <row r="350" ht="15.75" customHeight="1">
      <c r="A350" s="3" t="s">
        <v>36</v>
      </c>
      <c r="B350" s="4" t="s">
        <v>156</v>
      </c>
      <c r="C350" s="5">
        <v>1.11012307E8</v>
      </c>
      <c r="D350" s="5">
        <f>189000000 - 'MLB Teams Payroll'!$C350</f>
        <v>77987693</v>
      </c>
      <c r="E350" s="5" t="s">
        <v>23</v>
      </c>
      <c r="F350" s="4">
        <v>2014.0</v>
      </c>
    </row>
    <row r="351" ht="15.75" customHeight="1">
      <c r="A351" s="3" t="s">
        <v>50</v>
      </c>
      <c r="B351" s="4" t="s">
        <v>153</v>
      </c>
      <c r="C351" s="5">
        <v>1.06811346E8</v>
      </c>
      <c r="D351" s="5">
        <f>189000000 - 'MLB Teams Payroll'!$C351</f>
        <v>82188654</v>
      </c>
      <c r="E351" s="5" t="s">
        <v>23</v>
      </c>
      <c r="F351" s="4">
        <v>2014.0</v>
      </c>
    </row>
    <row r="352" ht="15.75" customHeight="1">
      <c r="A352" s="3" t="s">
        <v>57</v>
      </c>
      <c r="B352" s="4" t="s">
        <v>119</v>
      </c>
      <c r="C352" s="5">
        <v>1.06363812E8</v>
      </c>
      <c r="D352" s="5">
        <f>189000000 - 'MLB Teams Payroll'!$C352</f>
        <v>82636188</v>
      </c>
      <c r="E352" s="5" t="s">
        <v>23</v>
      </c>
      <c r="F352" s="4">
        <v>2014.0</v>
      </c>
    </row>
    <row r="353" ht="15.75" customHeight="1">
      <c r="A353" s="3" t="s">
        <v>43</v>
      </c>
      <c r="B353" s="4" t="s">
        <v>136</v>
      </c>
      <c r="C353" s="5">
        <v>1.05911163E8</v>
      </c>
      <c r="D353" s="5">
        <f>189000000 - 'MLB Teams Payroll'!$C353</f>
        <v>83088837</v>
      </c>
      <c r="E353" s="5" t="s">
        <v>23</v>
      </c>
      <c r="F353" s="4">
        <v>2014.0</v>
      </c>
    </row>
    <row r="354" ht="15.75" customHeight="1">
      <c r="A354" s="3" t="s">
        <v>55</v>
      </c>
      <c r="B354" s="4" t="s">
        <v>128</v>
      </c>
      <c r="C354" s="5">
        <v>1.03991963E8</v>
      </c>
      <c r="D354" s="5">
        <f>189000000 - 'MLB Teams Payroll'!$C354</f>
        <v>85008037</v>
      </c>
      <c r="E354" s="5" t="s">
        <v>23</v>
      </c>
      <c r="F354" s="4">
        <v>2014.0</v>
      </c>
    </row>
    <row r="355" ht="15.75" customHeight="1">
      <c r="A355" s="3" t="s">
        <v>15</v>
      </c>
      <c r="B355" s="4" t="s">
        <v>128</v>
      </c>
      <c r="C355" s="5">
        <v>1.03835898E8</v>
      </c>
      <c r="D355" s="5">
        <f>189000000 - 'MLB Teams Payroll'!$C355</f>
        <v>85164102</v>
      </c>
      <c r="E355" s="5" t="s">
        <v>23</v>
      </c>
      <c r="F355" s="4">
        <v>2014.0</v>
      </c>
    </row>
    <row r="356" ht="15.75" customHeight="1">
      <c r="A356" s="7" t="s">
        <v>73</v>
      </c>
      <c r="B356" s="4" t="s">
        <v>154</v>
      </c>
      <c r="C356" s="5">
        <v>1.02016747E8</v>
      </c>
      <c r="D356" s="5">
        <f>189000000 - 'MLB Teams Payroll'!$C356</f>
        <v>86983253</v>
      </c>
      <c r="E356" s="5" t="s">
        <v>23</v>
      </c>
      <c r="F356" s="4">
        <v>2014.0</v>
      </c>
    </row>
    <row r="357" ht="15.75" customHeight="1">
      <c r="A357" s="3" t="s">
        <v>46</v>
      </c>
      <c r="B357" s="4" t="s">
        <v>148</v>
      </c>
      <c r="C357" s="5">
        <v>1.01508531E8</v>
      </c>
      <c r="D357" s="5">
        <f>189000000 - 'MLB Teams Payroll'!$C357</f>
        <v>87491469</v>
      </c>
      <c r="E357" s="5" t="s">
        <v>23</v>
      </c>
      <c r="F357" s="4">
        <v>2014.0</v>
      </c>
    </row>
    <row r="358" ht="15.75" customHeight="1">
      <c r="A358" s="3" t="s">
        <v>8</v>
      </c>
      <c r="B358" s="4" t="s">
        <v>169</v>
      </c>
      <c r="C358" s="5">
        <v>9.8135E7</v>
      </c>
      <c r="D358" s="5">
        <f>189000000 - 'MLB Teams Payroll'!$C358</f>
        <v>90865000</v>
      </c>
      <c r="E358" s="5" t="s">
        <v>23</v>
      </c>
      <c r="F358" s="4">
        <v>2014.0</v>
      </c>
    </row>
    <row r="359" ht="15.75" customHeight="1">
      <c r="A359" s="3" t="s">
        <v>53</v>
      </c>
      <c r="B359" s="4" t="s">
        <v>125</v>
      </c>
      <c r="C359" s="5">
        <v>9.6063707E7</v>
      </c>
      <c r="D359" s="5">
        <f>189000000 - 'MLB Teams Payroll'!$C359</f>
        <v>92936293</v>
      </c>
      <c r="E359" s="5" t="s">
        <v>23</v>
      </c>
      <c r="F359" s="4">
        <v>2014.0</v>
      </c>
    </row>
    <row r="360" ht="15.75" customHeight="1">
      <c r="A360" s="3" t="s">
        <v>59</v>
      </c>
      <c r="B360" s="4" t="s">
        <v>128</v>
      </c>
      <c r="C360" s="5">
        <v>6.4580636E7</v>
      </c>
      <c r="D360" s="5">
        <f>189000000 - 'MLB Teams Payroll'!$C360</f>
        <v>124419364</v>
      </c>
      <c r="E360" s="5" t="s">
        <v>23</v>
      </c>
      <c r="F360" s="4">
        <v>2014.0</v>
      </c>
    </row>
    <row r="361" ht="15.75" customHeight="1">
      <c r="A361" s="3" t="s">
        <v>19</v>
      </c>
      <c r="B361" s="4" t="s">
        <v>148</v>
      </c>
      <c r="C361" s="5">
        <v>6.431996E7</v>
      </c>
      <c r="D361" s="5">
        <f>189000000 - 'MLB Teams Payroll'!$C361</f>
        <v>124680040</v>
      </c>
      <c r="E361" s="5" t="s">
        <v>23</v>
      </c>
      <c r="F361" s="4">
        <v>2014.0</v>
      </c>
    </row>
    <row r="362" ht="15.75" customHeight="1">
      <c r="A362" s="3" t="s">
        <v>6</v>
      </c>
      <c r="B362" s="4" t="s">
        <v>144</v>
      </c>
      <c r="C362" s="5">
        <v>2.4323405E8</v>
      </c>
      <c r="D362" s="5">
        <f>178000000 - 'MLB Teams Payroll'!$C362</f>
        <v>-65234050</v>
      </c>
      <c r="E362" s="5">
        <v>1.1415959E7</v>
      </c>
      <c r="F362" s="4">
        <v>2013.0</v>
      </c>
    </row>
    <row r="363" ht="15.75" customHeight="1">
      <c r="A363" s="3" t="s">
        <v>10</v>
      </c>
      <c r="B363" s="4" t="s">
        <v>153</v>
      </c>
      <c r="C363" s="5">
        <v>2.3422789E8</v>
      </c>
      <c r="D363" s="5">
        <f>178000000 - 'MLB Teams Payroll'!$C363</f>
        <v>-56227890</v>
      </c>
      <c r="E363" s="5">
        <v>2.8113945E7</v>
      </c>
      <c r="F363" s="4">
        <v>2013.0</v>
      </c>
    </row>
    <row r="364" ht="15.75" customHeight="1">
      <c r="A364" s="3" t="s">
        <v>17</v>
      </c>
      <c r="B364" s="4" t="s">
        <v>140</v>
      </c>
      <c r="C364" s="5">
        <v>1.77774334E8</v>
      </c>
      <c r="D364" s="5">
        <f>178000000 - 'MLB Teams Payroll'!$C364</f>
        <v>225666</v>
      </c>
      <c r="E364" s="5" t="s">
        <v>23</v>
      </c>
      <c r="F364" s="4">
        <v>2013.0</v>
      </c>
    </row>
    <row r="365" ht="15.75" customHeight="1">
      <c r="A365" s="3" t="s">
        <v>28</v>
      </c>
      <c r="B365" s="4" t="s">
        <v>132</v>
      </c>
      <c r="C365" s="5">
        <v>1.71411364E8</v>
      </c>
      <c r="D365" s="5">
        <f>178000000 - 'MLB Teams Payroll'!$C365</f>
        <v>6588636</v>
      </c>
      <c r="E365" s="5" t="s">
        <v>23</v>
      </c>
      <c r="F365" s="4">
        <v>2013.0</v>
      </c>
    </row>
    <row r="366" ht="15.75" customHeight="1">
      <c r="A366" s="3" t="s">
        <v>12</v>
      </c>
      <c r="B366" s="4" t="s">
        <v>119</v>
      </c>
      <c r="C366" s="5">
        <v>1.68569538E8</v>
      </c>
      <c r="D366" s="5">
        <f>178000000 - 'MLB Teams Payroll'!$C366</f>
        <v>9430462</v>
      </c>
      <c r="E366" s="5" t="s">
        <v>23</v>
      </c>
      <c r="F366" s="4">
        <v>2013.0</v>
      </c>
    </row>
    <row r="367" ht="15.75" customHeight="1">
      <c r="A367" s="3" t="s">
        <v>30</v>
      </c>
      <c r="B367" s="4" t="s">
        <v>147</v>
      </c>
      <c r="C367" s="5">
        <v>1.68567271E8</v>
      </c>
      <c r="D367" s="5">
        <f>178000000 - 'MLB Teams Payroll'!$C367</f>
        <v>9432729</v>
      </c>
      <c r="E367" s="5" t="s">
        <v>23</v>
      </c>
      <c r="F367" s="4">
        <v>2013.0</v>
      </c>
    </row>
    <row r="368" ht="15.75" customHeight="1">
      <c r="A368" s="3" t="s">
        <v>21</v>
      </c>
      <c r="B368" s="4" t="s">
        <v>129</v>
      </c>
      <c r="C368" s="5">
        <v>1.6796699E8</v>
      </c>
      <c r="D368" s="5">
        <f>178000000 - 'MLB Teams Payroll'!$C368</f>
        <v>10033010</v>
      </c>
      <c r="E368" s="5" t="s">
        <v>23</v>
      </c>
      <c r="F368" s="4">
        <v>2013.0</v>
      </c>
    </row>
    <row r="369" ht="15.75" customHeight="1">
      <c r="A369" s="3" t="s">
        <v>38</v>
      </c>
      <c r="B369" s="4" t="s">
        <v>143</v>
      </c>
      <c r="C369" s="5">
        <v>1.64982798E8</v>
      </c>
      <c r="D369" s="5">
        <f>178000000 - 'MLB Teams Payroll'!$C369</f>
        <v>13017202</v>
      </c>
      <c r="E369" s="5" t="s">
        <v>23</v>
      </c>
      <c r="F369" s="4">
        <v>2013.0</v>
      </c>
    </row>
    <row r="370" ht="15.75" customHeight="1">
      <c r="A370" s="3" t="s">
        <v>14</v>
      </c>
      <c r="B370" s="4" t="s">
        <v>160</v>
      </c>
      <c r="C370" s="5">
        <v>1.41818797E8</v>
      </c>
      <c r="D370" s="5">
        <f>178000000 - 'MLB Teams Payroll'!$C370</f>
        <v>36181203</v>
      </c>
      <c r="E370" s="5" t="s">
        <v>23</v>
      </c>
      <c r="F370" s="4">
        <v>2013.0</v>
      </c>
    </row>
    <row r="371" ht="15.75" customHeight="1">
      <c r="A371" s="3" t="s">
        <v>39</v>
      </c>
      <c r="B371" s="4" t="s">
        <v>140</v>
      </c>
      <c r="C371" s="5">
        <v>1.38550976E8</v>
      </c>
      <c r="D371" s="5">
        <f>178000000 - 'MLB Teams Payroll'!$C371</f>
        <v>39449024</v>
      </c>
      <c r="E371" s="5" t="s">
        <v>23</v>
      </c>
      <c r="F371" s="4">
        <v>2013.0</v>
      </c>
    </row>
    <row r="372" ht="15.75" customHeight="1">
      <c r="A372" s="3" t="s">
        <v>48</v>
      </c>
      <c r="B372" s="4" t="s">
        <v>156</v>
      </c>
      <c r="C372" s="5">
        <v>1.34780736E8</v>
      </c>
      <c r="D372" s="5">
        <f>178000000 - 'MLB Teams Payroll'!$C372</f>
        <v>43219264</v>
      </c>
      <c r="E372" s="5" t="s">
        <v>23</v>
      </c>
      <c r="F372" s="4">
        <v>2013.0</v>
      </c>
    </row>
    <row r="373" ht="15.75" customHeight="1">
      <c r="A373" s="3" t="s">
        <v>45</v>
      </c>
      <c r="B373" s="4" t="s">
        <v>133</v>
      </c>
      <c r="C373" s="5">
        <v>1.32787186E8</v>
      </c>
      <c r="D373" s="5">
        <f>178000000 - 'MLB Teams Payroll'!$C373</f>
        <v>45212814</v>
      </c>
      <c r="E373" s="5" t="s">
        <v>23</v>
      </c>
      <c r="F373" s="4">
        <v>2013.0</v>
      </c>
    </row>
    <row r="374" ht="15.75" customHeight="1">
      <c r="A374" s="3" t="s">
        <v>57</v>
      </c>
      <c r="B374" s="4" t="s">
        <v>174</v>
      </c>
      <c r="C374" s="5">
        <v>1.19993317E8</v>
      </c>
      <c r="D374" s="5">
        <f>178000000 - 'MLB Teams Payroll'!$C374</f>
        <v>58006683</v>
      </c>
      <c r="E374" s="5" t="s">
        <v>23</v>
      </c>
      <c r="F374" s="4">
        <v>2013.0</v>
      </c>
    </row>
    <row r="375" ht="15.75" customHeight="1">
      <c r="A375" s="3" t="s">
        <v>26</v>
      </c>
      <c r="B375" s="4" t="s">
        <v>136</v>
      </c>
      <c r="C375" s="5">
        <v>1.1806099E8</v>
      </c>
      <c r="D375" s="5">
        <f>178000000 - 'MLB Teams Payroll'!$C375</f>
        <v>59939010</v>
      </c>
      <c r="E375" s="5" t="s">
        <v>23</v>
      </c>
      <c r="F375" s="4">
        <v>2013.0</v>
      </c>
    </row>
    <row r="376" ht="15.75" customHeight="1">
      <c r="A376" s="3" t="s">
        <v>31</v>
      </c>
      <c r="B376" s="4" t="s">
        <v>161</v>
      </c>
      <c r="C376" s="5">
        <v>1.16011642E8</v>
      </c>
      <c r="D376" s="5">
        <f>178000000 - 'MLB Teams Payroll'!$C376</f>
        <v>61988358</v>
      </c>
      <c r="E376" s="5" t="s">
        <v>23</v>
      </c>
      <c r="F376" s="4">
        <v>2013.0</v>
      </c>
    </row>
    <row r="377" ht="15.75" customHeight="1">
      <c r="A377" s="3" t="s">
        <v>34</v>
      </c>
      <c r="B377" s="4" t="s">
        <v>153</v>
      </c>
      <c r="C377" s="5">
        <v>1.13381502E8</v>
      </c>
      <c r="D377" s="5">
        <f>178000000 - 'MLB Teams Payroll'!$C377</f>
        <v>64618498</v>
      </c>
      <c r="E377" s="5" t="s">
        <v>23</v>
      </c>
      <c r="F377" s="4">
        <v>2013.0</v>
      </c>
    </row>
    <row r="378" ht="15.75" customHeight="1">
      <c r="A378" s="3" t="s">
        <v>50</v>
      </c>
      <c r="B378" s="4" t="s">
        <v>144</v>
      </c>
      <c r="C378" s="5">
        <v>1.10282065E8</v>
      </c>
      <c r="D378" s="5">
        <f>178000000 - 'MLB Teams Payroll'!$C378</f>
        <v>67717935</v>
      </c>
      <c r="E378" s="5" t="s">
        <v>23</v>
      </c>
      <c r="F378" s="4">
        <v>2013.0</v>
      </c>
    </row>
    <row r="379" ht="15.75" customHeight="1">
      <c r="A379" s="3" t="s">
        <v>8</v>
      </c>
      <c r="B379" s="4" t="s">
        <v>160</v>
      </c>
      <c r="C379" s="5">
        <v>1.09247065E8</v>
      </c>
      <c r="D379" s="5">
        <f>178000000 - 'MLB Teams Payroll'!$C379</f>
        <v>68752935</v>
      </c>
      <c r="E379" s="5" t="s">
        <v>23</v>
      </c>
      <c r="F379" s="4">
        <v>2013.0</v>
      </c>
    </row>
    <row r="380" ht="15.75" customHeight="1">
      <c r="A380" s="3" t="s">
        <v>43</v>
      </c>
      <c r="B380" s="4" t="s">
        <v>160</v>
      </c>
      <c r="C380" s="5">
        <v>1.08298122E8</v>
      </c>
      <c r="D380" s="5">
        <f>178000000 - 'MLB Teams Payroll'!$C380</f>
        <v>69701878</v>
      </c>
      <c r="E380" s="5" t="s">
        <v>23</v>
      </c>
      <c r="F380" s="4">
        <v>2013.0</v>
      </c>
    </row>
    <row r="381" ht="15.75" customHeight="1">
      <c r="A381" s="3" t="s">
        <v>24</v>
      </c>
      <c r="B381" s="4" t="s">
        <v>173</v>
      </c>
      <c r="C381" s="5">
        <v>1.05132902E8</v>
      </c>
      <c r="D381" s="5">
        <f>178000000 - 'MLB Teams Payroll'!$C381</f>
        <v>72867098</v>
      </c>
      <c r="E381" s="5" t="s">
        <v>23</v>
      </c>
      <c r="F381" s="4">
        <v>2013.0</v>
      </c>
    </row>
    <row r="382" ht="15.75" customHeight="1">
      <c r="A382" s="3" t="s">
        <v>41</v>
      </c>
      <c r="B382" s="4" t="s">
        <v>160</v>
      </c>
      <c r="C382" s="5">
        <v>1.03726416E8</v>
      </c>
      <c r="D382" s="5">
        <f>178000000 - 'MLB Teams Payroll'!$C382</f>
        <v>74273584</v>
      </c>
      <c r="E382" s="5" t="s">
        <v>23</v>
      </c>
      <c r="F382" s="4">
        <v>2013.0</v>
      </c>
    </row>
    <row r="383" ht="15.75" customHeight="1">
      <c r="A383" s="3" t="s">
        <v>33</v>
      </c>
      <c r="B383" s="4" t="s">
        <v>155</v>
      </c>
      <c r="C383" s="5">
        <v>1.03194883E8</v>
      </c>
      <c r="D383" s="5">
        <f>178000000 - 'MLB Teams Payroll'!$C383</f>
        <v>74805117</v>
      </c>
      <c r="E383" s="5" t="s">
        <v>23</v>
      </c>
      <c r="F383" s="4">
        <v>2013.0</v>
      </c>
    </row>
    <row r="384" ht="15.75" customHeight="1">
      <c r="A384" s="3" t="s">
        <v>36</v>
      </c>
      <c r="B384" s="4" t="s">
        <v>156</v>
      </c>
      <c r="C384" s="5">
        <v>1.01424277E8</v>
      </c>
      <c r="D384" s="5">
        <f>178000000 - 'MLB Teams Payroll'!$C384</f>
        <v>76575723</v>
      </c>
      <c r="E384" s="5" t="s">
        <v>23</v>
      </c>
      <c r="F384" s="4">
        <v>2013.0</v>
      </c>
    </row>
    <row r="385" ht="15.75" customHeight="1">
      <c r="A385" s="3" t="s">
        <v>53</v>
      </c>
      <c r="B385" s="4" t="s">
        <v>171</v>
      </c>
      <c r="C385" s="5">
        <v>9.1301096E7</v>
      </c>
      <c r="D385" s="5">
        <f>178000000 - 'MLB Teams Payroll'!$C385</f>
        <v>86698904</v>
      </c>
      <c r="E385" s="5" t="s">
        <v>23</v>
      </c>
      <c r="F385" s="4">
        <v>2013.0</v>
      </c>
    </row>
    <row r="386" ht="15.75" customHeight="1">
      <c r="A386" s="3" t="s">
        <v>55</v>
      </c>
      <c r="B386" s="4" t="s">
        <v>120</v>
      </c>
      <c r="C386" s="5">
        <v>8.6423403E7</v>
      </c>
      <c r="D386" s="5">
        <f>178000000 - 'MLB Teams Payroll'!$C386</f>
        <v>91576597</v>
      </c>
      <c r="E386" s="5" t="s">
        <v>23</v>
      </c>
      <c r="F386" s="4">
        <v>2013.0</v>
      </c>
    </row>
    <row r="387" ht="15.75" customHeight="1">
      <c r="A387" s="3" t="s">
        <v>15</v>
      </c>
      <c r="B387" s="4" t="s">
        <v>147</v>
      </c>
      <c r="C387" s="5">
        <v>8.61466E7</v>
      </c>
      <c r="D387" s="5">
        <f>178000000 - 'MLB Teams Payroll'!$C387</f>
        <v>91853400</v>
      </c>
      <c r="E387" s="5" t="s">
        <v>23</v>
      </c>
      <c r="F387" s="4">
        <v>2013.0</v>
      </c>
    </row>
    <row r="388" ht="15.75" customHeight="1">
      <c r="A388" s="3" t="s">
        <v>46</v>
      </c>
      <c r="B388" s="4" t="s">
        <v>136</v>
      </c>
      <c r="C388" s="5">
        <v>8.4999527E7</v>
      </c>
      <c r="D388" s="5">
        <f>178000000 - 'MLB Teams Payroll'!$C388</f>
        <v>93000473</v>
      </c>
      <c r="E388" s="5" t="s">
        <v>23</v>
      </c>
      <c r="F388" s="4">
        <v>2013.0</v>
      </c>
    </row>
    <row r="389" ht="15.75" customHeight="1">
      <c r="A389" s="7" t="s">
        <v>73</v>
      </c>
      <c r="B389" s="4" t="s">
        <v>173</v>
      </c>
      <c r="C389" s="5">
        <v>7.5087182E7</v>
      </c>
      <c r="D389" s="5">
        <f>178000000 - 'MLB Teams Payroll'!$C389</f>
        <v>102912818</v>
      </c>
      <c r="E389" s="5" t="s">
        <v>23</v>
      </c>
      <c r="F389" s="4">
        <v>2013.0</v>
      </c>
    </row>
    <row r="390" ht="15.75" customHeight="1">
      <c r="A390" s="3" t="s">
        <v>59</v>
      </c>
      <c r="B390" s="4" t="s">
        <v>141</v>
      </c>
      <c r="C390" s="5">
        <v>5.0851626E7</v>
      </c>
      <c r="D390" s="5">
        <f>178000000 - 'MLB Teams Payroll'!$C390</f>
        <v>127148374</v>
      </c>
      <c r="E390" s="5" t="s">
        <v>23</v>
      </c>
      <c r="F390" s="4">
        <v>2013.0</v>
      </c>
    </row>
    <row r="391" ht="15.75" customHeight="1">
      <c r="A391" s="3" t="s">
        <v>19</v>
      </c>
      <c r="B391" s="4" t="s">
        <v>175</v>
      </c>
      <c r="C391" s="5">
        <v>3.9210733E7</v>
      </c>
      <c r="D391" s="5">
        <f>178000000 - 'MLB Teams Payroll'!$C391</f>
        <v>138789267</v>
      </c>
      <c r="E391" s="5" t="s">
        <v>23</v>
      </c>
      <c r="F391" s="4">
        <v>2013.0</v>
      </c>
    </row>
    <row r="392" ht="15.75" customHeight="1">
      <c r="A392" s="3" t="s">
        <v>10</v>
      </c>
      <c r="B392" s="4" t="s">
        <v>162</v>
      </c>
      <c r="C392" s="5">
        <v>2.22512928E8</v>
      </c>
      <c r="D392" s="5">
        <f>178000000 - 'MLB Teams Payroll'!$C392</f>
        <v>-44512928</v>
      </c>
      <c r="E392" s="5">
        <v>1.8917994E7</v>
      </c>
      <c r="F392" s="4">
        <v>2012.0</v>
      </c>
    </row>
    <row r="393" ht="15.75" customHeight="1">
      <c r="A393" s="3" t="s">
        <v>17</v>
      </c>
      <c r="B393" s="4" t="s">
        <v>167</v>
      </c>
      <c r="C393" s="5">
        <v>1.77952823E8</v>
      </c>
      <c r="D393" s="5">
        <f>178000000 - 'MLB Teams Payroll'!$C393</f>
        <v>47177</v>
      </c>
      <c r="E393" s="5" t="s">
        <v>23</v>
      </c>
      <c r="F393" s="4">
        <v>2012.0</v>
      </c>
    </row>
    <row r="394" ht="15.75" customHeight="1">
      <c r="A394" s="3" t="s">
        <v>28</v>
      </c>
      <c r="B394" s="4" t="s">
        <v>126</v>
      </c>
      <c r="C394" s="5">
        <v>1.76652838E8</v>
      </c>
      <c r="D394" s="5">
        <f>178000000 - 'MLB Teams Payroll'!$C394</f>
        <v>1347162</v>
      </c>
      <c r="E394" s="5" t="s">
        <v>23</v>
      </c>
      <c r="F394" s="4">
        <v>2012.0</v>
      </c>
    </row>
    <row r="395" ht="15.75" customHeight="1">
      <c r="A395" s="3" t="s">
        <v>12</v>
      </c>
      <c r="B395" s="4" t="s">
        <v>161</v>
      </c>
      <c r="C395" s="5">
        <v>1.74523432E8</v>
      </c>
      <c r="D395" s="5">
        <f>178000000 - 'MLB Teams Payroll'!$C395</f>
        <v>3476568</v>
      </c>
      <c r="E395" s="5" t="s">
        <v>23</v>
      </c>
      <c r="F395" s="4">
        <v>2012.0</v>
      </c>
    </row>
    <row r="396" ht="15.75" customHeight="1">
      <c r="A396" s="3" t="s">
        <v>30</v>
      </c>
      <c r="B396" s="4" t="s">
        <v>171</v>
      </c>
      <c r="C396" s="5">
        <v>1.60399128E8</v>
      </c>
      <c r="D396" s="5">
        <f>178000000 - 'MLB Teams Payroll'!$C396</f>
        <v>17600872</v>
      </c>
      <c r="E396" s="5" t="s">
        <v>23</v>
      </c>
      <c r="F396" s="4">
        <v>2012.0</v>
      </c>
    </row>
    <row r="397" ht="15.75" customHeight="1">
      <c r="A397" s="3" t="s">
        <v>6</v>
      </c>
      <c r="B397" s="4" t="s">
        <v>156</v>
      </c>
      <c r="C397" s="5">
        <v>1.5825857E8</v>
      </c>
      <c r="D397" s="5">
        <f>178000000 - 'MLB Teams Payroll'!$C397</f>
        <v>19741430</v>
      </c>
      <c r="E397" s="5" t="s">
        <v>23</v>
      </c>
      <c r="F397" s="4">
        <v>2012.0</v>
      </c>
    </row>
    <row r="398" ht="15.75" customHeight="1">
      <c r="A398" s="3" t="s">
        <v>21</v>
      </c>
      <c r="B398" s="4" t="s">
        <v>143</v>
      </c>
      <c r="C398" s="5">
        <v>1.4851397E8</v>
      </c>
      <c r="D398" s="5">
        <f>178000000 - 'MLB Teams Payroll'!$C398</f>
        <v>29486030</v>
      </c>
      <c r="E398" s="5" t="s">
        <v>23</v>
      </c>
      <c r="F398" s="4">
        <v>2012.0</v>
      </c>
    </row>
    <row r="399" ht="15.75" customHeight="1">
      <c r="A399" s="3" t="s">
        <v>38</v>
      </c>
      <c r="B399" s="4" t="s">
        <v>125</v>
      </c>
      <c r="C399" s="5">
        <v>1.45231588E8</v>
      </c>
      <c r="D399" s="5">
        <f>178000000 - 'MLB Teams Payroll'!$C399</f>
        <v>32768412</v>
      </c>
      <c r="E399" s="5" t="s">
        <v>23</v>
      </c>
      <c r="F399" s="4">
        <v>2012.0</v>
      </c>
    </row>
    <row r="400" ht="15.75" customHeight="1">
      <c r="A400" s="3" t="s">
        <v>39</v>
      </c>
      <c r="B400" s="4" t="s">
        <v>125</v>
      </c>
      <c r="C400" s="5">
        <v>1.25811271E8</v>
      </c>
      <c r="D400" s="5">
        <f>178000000 - 'MLB Teams Payroll'!$C400</f>
        <v>52188729</v>
      </c>
      <c r="E400" s="5" t="s">
        <v>23</v>
      </c>
      <c r="F400" s="4">
        <v>2012.0</v>
      </c>
    </row>
    <row r="401" ht="15.75" customHeight="1">
      <c r="A401" s="3" t="s">
        <v>41</v>
      </c>
      <c r="B401" s="4" t="s">
        <v>145</v>
      </c>
      <c r="C401" s="5">
        <v>1.20865321E8</v>
      </c>
      <c r="D401" s="5">
        <f>178000000 - 'MLB Teams Payroll'!$C401</f>
        <v>57134679</v>
      </c>
      <c r="E401" s="5" t="s">
        <v>23</v>
      </c>
      <c r="F401" s="4">
        <v>2012.0</v>
      </c>
    </row>
    <row r="402" ht="15.75" customHeight="1">
      <c r="A402" s="3" t="s">
        <v>48</v>
      </c>
      <c r="B402" s="4" t="s">
        <v>172</v>
      </c>
      <c r="C402" s="5">
        <v>1.18978939E8</v>
      </c>
      <c r="D402" s="5">
        <f>178000000 - 'MLB Teams Payroll'!$C402</f>
        <v>59021061</v>
      </c>
      <c r="E402" s="5" t="s">
        <v>23</v>
      </c>
      <c r="F402" s="4">
        <v>2012.0</v>
      </c>
    </row>
    <row r="403" ht="15.75" customHeight="1">
      <c r="A403" s="3" t="s">
        <v>45</v>
      </c>
      <c r="B403" s="4" t="s">
        <v>140</v>
      </c>
      <c r="C403" s="5">
        <v>1.18770061E8</v>
      </c>
      <c r="D403" s="5">
        <f>178000000 - 'MLB Teams Payroll'!$C403</f>
        <v>59229939</v>
      </c>
      <c r="E403" s="5" t="s">
        <v>23</v>
      </c>
      <c r="F403" s="4">
        <v>2012.0</v>
      </c>
    </row>
    <row r="404" ht="15.75" customHeight="1">
      <c r="A404" s="3" t="s">
        <v>57</v>
      </c>
      <c r="B404" s="4" t="s">
        <v>153</v>
      </c>
      <c r="C404" s="5">
        <v>1.1445956E8</v>
      </c>
      <c r="D404" s="5">
        <f>178000000 - 'MLB Teams Payroll'!$C404</f>
        <v>63540440</v>
      </c>
      <c r="E404" s="5" t="s">
        <v>23</v>
      </c>
      <c r="F404" s="4">
        <v>2012.0</v>
      </c>
    </row>
    <row r="405" ht="15.75" customHeight="1">
      <c r="A405" s="3" t="s">
        <v>26</v>
      </c>
      <c r="B405" s="4" t="s">
        <v>176</v>
      </c>
      <c r="C405" s="5">
        <v>1.12711841E8</v>
      </c>
      <c r="D405" s="5">
        <f>178000000 - 'MLB Teams Payroll'!$C405</f>
        <v>65288159</v>
      </c>
      <c r="E405" s="5" t="s">
        <v>23</v>
      </c>
      <c r="F405" s="4">
        <v>2012.0</v>
      </c>
    </row>
    <row r="406" ht="15.75" customHeight="1">
      <c r="A406" s="3" t="s">
        <v>59</v>
      </c>
      <c r="B406" s="4" t="s">
        <v>167</v>
      </c>
      <c r="C406" s="5">
        <v>1.11824633E8</v>
      </c>
      <c r="D406" s="5">
        <f>178000000 - 'MLB Teams Payroll'!$C406</f>
        <v>66175367</v>
      </c>
      <c r="E406" s="5" t="s">
        <v>23</v>
      </c>
      <c r="F406" s="4">
        <v>2012.0</v>
      </c>
    </row>
    <row r="407" ht="15.75" customHeight="1">
      <c r="A407" s="3" t="s">
        <v>43</v>
      </c>
      <c r="B407" s="4" t="s">
        <v>134</v>
      </c>
      <c r="C407" s="5">
        <v>1.06202187E8</v>
      </c>
      <c r="D407" s="5">
        <f>178000000 - 'MLB Teams Payroll'!$C407</f>
        <v>71797813</v>
      </c>
      <c r="E407" s="5" t="s">
        <v>23</v>
      </c>
      <c r="F407" s="4">
        <v>2012.0</v>
      </c>
    </row>
    <row r="408" ht="15.75" customHeight="1">
      <c r="A408" s="3" t="s">
        <v>46</v>
      </c>
      <c r="B408" s="4" t="s">
        <v>136</v>
      </c>
      <c r="C408" s="5">
        <v>1.05860445E8</v>
      </c>
      <c r="D408" s="5">
        <f>178000000 - 'MLB Teams Payroll'!$C408</f>
        <v>72139555</v>
      </c>
      <c r="E408" s="5" t="s">
        <v>23</v>
      </c>
      <c r="F408" s="4">
        <v>2012.0</v>
      </c>
    </row>
    <row r="409" ht="15.75" customHeight="1">
      <c r="A409" s="3" t="s">
        <v>8</v>
      </c>
      <c r="B409" s="4" t="s">
        <v>160</v>
      </c>
      <c r="C409" s="5">
        <v>1.05704018E8</v>
      </c>
      <c r="D409" s="5">
        <f>178000000 - 'MLB Teams Payroll'!$C409</f>
        <v>72295982</v>
      </c>
      <c r="E409" s="5" t="s">
        <v>23</v>
      </c>
      <c r="F409" s="4">
        <v>2012.0</v>
      </c>
    </row>
    <row r="410" ht="15.75" customHeight="1">
      <c r="A410" s="3" t="s">
        <v>24</v>
      </c>
      <c r="B410" s="4" t="s">
        <v>171</v>
      </c>
      <c r="C410" s="5">
        <v>1.05318027E8</v>
      </c>
      <c r="D410" s="5">
        <f>178000000 - 'MLB Teams Payroll'!$C410</f>
        <v>72681973</v>
      </c>
      <c r="E410" s="5" t="s">
        <v>23</v>
      </c>
      <c r="F410" s="4">
        <v>2012.0</v>
      </c>
    </row>
    <row r="411" ht="15.75" customHeight="1">
      <c r="A411" s="3" t="s">
        <v>14</v>
      </c>
      <c r="B411" s="4" t="s">
        <v>119</v>
      </c>
      <c r="C411" s="5">
        <v>1.03726534E8</v>
      </c>
      <c r="D411" s="5">
        <f>178000000 - 'MLB Teams Payroll'!$C411</f>
        <v>74273466</v>
      </c>
      <c r="E411" s="5" t="s">
        <v>23</v>
      </c>
      <c r="F411" s="4">
        <v>2012.0</v>
      </c>
    </row>
    <row r="412" ht="15.75" customHeight="1">
      <c r="A412" s="3" t="s">
        <v>34</v>
      </c>
      <c r="B412" s="4" t="s">
        <v>143</v>
      </c>
      <c r="C412" s="5">
        <v>9.705624E7</v>
      </c>
      <c r="D412" s="5">
        <f>178000000 - 'MLB Teams Payroll'!$C412</f>
        <v>80943760</v>
      </c>
      <c r="E412" s="5" t="s">
        <v>23</v>
      </c>
      <c r="F412" s="4">
        <v>2012.0</v>
      </c>
    </row>
    <row r="413" ht="15.75" customHeight="1">
      <c r="A413" s="3" t="s">
        <v>31</v>
      </c>
      <c r="B413" s="4" t="s">
        <v>161</v>
      </c>
      <c r="C413" s="5">
        <v>8.8891716E7</v>
      </c>
      <c r="D413" s="5">
        <f>178000000 - 'MLB Teams Payroll'!$C413</f>
        <v>89108284</v>
      </c>
      <c r="E413" s="5" t="s">
        <v>23</v>
      </c>
      <c r="F413" s="4">
        <v>2012.0</v>
      </c>
    </row>
    <row r="414" ht="15.75" customHeight="1">
      <c r="A414" s="3" t="s">
        <v>33</v>
      </c>
      <c r="B414" s="4" t="s">
        <v>146</v>
      </c>
      <c r="C414" s="5">
        <v>8.8389993E7</v>
      </c>
      <c r="D414" s="5">
        <f>178000000 - 'MLB Teams Payroll'!$C414</f>
        <v>89610007</v>
      </c>
      <c r="E414" s="5" t="s">
        <v>23</v>
      </c>
      <c r="F414" s="4">
        <v>2012.0</v>
      </c>
    </row>
    <row r="415" ht="15.75" customHeight="1">
      <c r="A415" s="3" t="s">
        <v>36</v>
      </c>
      <c r="B415" s="4" t="s">
        <v>152</v>
      </c>
      <c r="C415" s="5">
        <v>8.3462428E7</v>
      </c>
      <c r="D415" s="5">
        <f>178000000 - 'MLB Teams Payroll'!$C415</f>
        <v>94537572</v>
      </c>
      <c r="E415" s="5" t="s">
        <v>23</v>
      </c>
      <c r="F415" s="4">
        <v>2012.0</v>
      </c>
    </row>
    <row r="416" ht="15.75" customHeight="1">
      <c r="A416" s="3" t="s">
        <v>50</v>
      </c>
      <c r="B416" s="4" t="s">
        <v>154</v>
      </c>
      <c r="C416" s="5">
        <v>8.2626016E7</v>
      </c>
      <c r="D416" s="5">
        <f>178000000 - 'MLB Teams Payroll'!$C416</f>
        <v>95373984</v>
      </c>
      <c r="E416" s="5" t="s">
        <v>23</v>
      </c>
      <c r="F416" s="4">
        <v>2012.0</v>
      </c>
    </row>
    <row r="417" ht="15.75" customHeight="1">
      <c r="A417" s="3" t="s">
        <v>55</v>
      </c>
      <c r="B417" s="4" t="s">
        <v>133</v>
      </c>
      <c r="C417" s="5">
        <v>8.1206178E7</v>
      </c>
      <c r="D417" s="5">
        <f>178000000 - 'MLB Teams Payroll'!$C417</f>
        <v>96793822</v>
      </c>
      <c r="E417" s="5" t="s">
        <v>23</v>
      </c>
      <c r="F417" s="4">
        <v>2012.0</v>
      </c>
    </row>
    <row r="418" ht="15.75" customHeight="1">
      <c r="A418" s="3" t="s">
        <v>53</v>
      </c>
      <c r="B418" s="4" t="s">
        <v>169</v>
      </c>
      <c r="C418" s="5">
        <v>8.0317027E7</v>
      </c>
      <c r="D418" s="5">
        <f>178000000 - 'MLB Teams Payroll'!$C418</f>
        <v>97682973</v>
      </c>
      <c r="E418" s="5" t="s">
        <v>23</v>
      </c>
      <c r="F418" s="4">
        <v>2012.0</v>
      </c>
    </row>
    <row r="419" ht="15.75" customHeight="1">
      <c r="A419" s="3" t="s">
        <v>15</v>
      </c>
      <c r="B419" s="4" t="s">
        <v>147</v>
      </c>
      <c r="C419" s="5">
        <v>7.8817495E7</v>
      </c>
      <c r="D419" s="5">
        <f>178000000 - 'MLB Teams Payroll'!$C419</f>
        <v>99182505</v>
      </c>
      <c r="E419" s="5" t="s">
        <v>23</v>
      </c>
      <c r="F419" s="4">
        <v>2012.0</v>
      </c>
    </row>
    <row r="420" ht="15.75" customHeight="1">
      <c r="A420" s="7" t="s">
        <v>73</v>
      </c>
      <c r="B420" s="4" t="s">
        <v>171</v>
      </c>
      <c r="C420" s="5">
        <v>7.3073503E7</v>
      </c>
      <c r="D420" s="5">
        <f>178000000 - 'MLB Teams Payroll'!$C420</f>
        <v>104926497</v>
      </c>
      <c r="E420" s="5" t="s">
        <v>23</v>
      </c>
      <c r="F420" s="4">
        <v>2012.0</v>
      </c>
    </row>
    <row r="421" ht="15.75" customHeight="1">
      <c r="A421" s="3" t="s">
        <v>19</v>
      </c>
      <c r="B421" s="4" t="s">
        <v>177</v>
      </c>
      <c r="C421" s="5">
        <v>7.2265379E7</v>
      </c>
      <c r="D421" s="5">
        <f>178000000 - 'MLB Teams Payroll'!$C421</f>
        <v>105734621</v>
      </c>
      <c r="E421" s="5" t="s">
        <v>23</v>
      </c>
      <c r="F421" s="4">
        <v>2012.0</v>
      </c>
    </row>
    <row r="422" ht="15.75" customHeight="1"/>
    <row r="423" ht="15.75" customHeight="1">
      <c r="B423" s="9"/>
      <c r="C423" s="9"/>
    </row>
    <row r="424" ht="15.75" customHeight="1">
      <c r="B424" s="9"/>
      <c r="C424" s="9"/>
    </row>
    <row r="425" ht="15.75" customHeight="1">
      <c r="B425" s="9"/>
      <c r="C425" s="9"/>
    </row>
    <row r="426" ht="15.75" customHeight="1">
      <c r="B426" s="9"/>
      <c r="C426" s="9"/>
    </row>
    <row r="427" ht="15.75" customHeight="1">
      <c r="B427" s="9"/>
      <c r="C427" s="9"/>
    </row>
    <row r="428" ht="15.75" customHeight="1">
      <c r="B428" s="9"/>
      <c r="C428" s="9"/>
    </row>
    <row r="429" ht="15.75" customHeight="1">
      <c r="B429" s="9"/>
      <c r="C429" s="9"/>
    </row>
    <row r="430" ht="15.75" customHeight="1">
      <c r="B430" s="9"/>
      <c r="C430" s="9"/>
    </row>
    <row r="431" ht="15.75" customHeight="1">
      <c r="B431" s="9"/>
      <c r="C431" s="9"/>
    </row>
    <row r="432" ht="15.75" customHeight="1">
      <c r="B432" s="9"/>
      <c r="C432" s="9"/>
    </row>
    <row r="433" ht="15.75" customHeight="1">
      <c r="B433" s="9"/>
      <c r="C433" s="9"/>
    </row>
    <row r="434" ht="15.75" customHeight="1">
      <c r="B434" s="9"/>
      <c r="C434" s="9"/>
    </row>
    <row r="435" ht="15.75" customHeight="1">
      <c r="B435" s="9"/>
      <c r="C435" s="9"/>
    </row>
    <row r="436" ht="15.75" customHeight="1">
      <c r="B436" s="9"/>
      <c r="C436" s="9"/>
    </row>
    <row r="437" ht="15.75" customHeight="1">
      <c r="B437" s="9"/>
      <c r="C437" s="9"/>
    </row>
    <row r="438" ht="15.75" customHeight="1">
      <c r="B438" s="9"/>
      <c r="C438" s="9"/>
    </row>
    <row r="439" ht="15.75" customHeight="1">
      <c r="B439" s="9"/>
      <c r="C439" s="9"/>
    </row>
    <row r="440" ht="15.75" customHeight="1">
      <c r="B440" s="9"/>
      <c r="C440" s="9"/>
    </row>
    <row r="441" ht="15.75" customHeight="1">
      <c r="B441" s="9"/>
      <c r="C441" s="9"/>
    </row>
    <row r="442" ht="15.75" customHeight="1">
      <c r="B442" s="9"/>
      <c r="C442" s="9"/>
    </row>
    <row r="443" ht="15.75" customHeight="1">
      <c r="B443" s="9"/>
      <c r="C443" s="9"/>
    </row>
    <row r="444" ht="15.75" customHeight="1">
      <c r="B444" s="9"/>
      <c r="C444" s="9"/>
    </row>
    <row r="445" ht="15.75" customHeight="1">
      <c r="B445" s="9"/>
      <c r="C445" s="9"/>
    </row>
    <row r="446" ht="15.75" customHeight="1">
      <c r="B446" s="9"/>
      <c r="C446" s="9"/>
    </row>
    <row r="447" ht="15.75" customHeight="1">
      <c r="B447" s="9"/>
      <c r="C447" s="9"/>
    </row>
    <row r="448" ht="15.75" customHeight="1">
      <c r="B448" s="9"/>
      <c r="C448" s="9"/>
    </row>
    <row r="449" ht="15.75" customHeight="1">
      <c r="B449" s="9"/>
      <c r="C449" s="9"/>
    </row>
    <row r="450" ht="15.75" customHeight="1">
      <c r="B450" s="9"/>
      <c r="C450" s="9"/>
    </row>
    <row r="451" ht="15.75" customHeight="1">
      <c r="B451" s="9"/>
      <c r="C451" s="9"/>
    </row>
    <row r="452" ht="15.75" customHeight="1">
      <c r="B452" s="9"/>
      <c r="C452" s="9"/>
    </row>
    <row r="453" ht="15.75" customHeight="1">
      <c r="B453" s="9"/>
      <c r="C453" s="9"/>
    </row>
    <row r="454" ht="15.75" customHeight="1">
      <c r="B454" s="9"/>
      <c r="C454" s="9"/>
    </row>
    <row r="455" ht="15.75" customHeight="1">
      <c r="B455" s="9"/>
      <c r="C455" s="9"/>
    </row>
    <row r="456" ht="15.75" customHeight="1">
      <c r="B456" s="9"/>
      <c r="C456" s="9"/>
    </row>
    <row r="457" ht="15.75" customHeight="1">
      <c r="B457" s="9"/>
      <c r="C457" s="9"/>
    </row>
    <row r="458" ht="15.75" customHeight="1">
      <c r="B458" s="9"/>
      <c r="C458" s="9"/>
    </row>
    <row r="459" ht="15.75" customHeight="1">
      <c r="B459" s="9"/>
      <c r="C459" s="9"/>
    </row>
    <row r="460" ht="15.75" customHeight="1">
      <c r="B460" s="9"/>
      <c r="C460" s="9"/>
    </row>
    <row r="461" ht="15.75" customHeight="1">
      <c r="B461" s="9"/>
      <c r="C461" s="9"/>
    </row>
    <row r="462" ht="15.75" customHeight="1">
      <c r="B462" s="9"/>
      <c r="C462" s="9"/>
    </row>
    <row r="463" ht="15.75" customHeight="1">
      <c r="B463" s="9"/>
      <c r="C463" s="9"/>
    </row>
    <row r="464" ht="15.75" customHeight="1">
      <c r="B464" s="9"/>
      <c r="C464" s="9"/>
    </row>
    <row r="465" ht="15.75" customHeight="1">
      <c r="B465" s="9"/>
      <c r="C465" s="9"/>
    </row>
    <row r="466" ht="15.75" customHeight="1">
      <c r="B466" s="9"/>
      <c r="C466" s="9"/>
    </row>
    <row r="467" ht="15.75" customHeight="1">
      <c r="B467" s="9"/>
      <c r="C467" s="9"/>
    </row>
    <row r="468" ht="15.75" customHeight="1">
      <c r="B468" s="9"/>
      <c r="C468" s="9"/>
    </row>
    <row r="469" ht="15.75" customHeight="1">
      <c r="B469" s="9"/>
      <c r="C469" s="9"/>
    </row>
    <row r="470" ht="15.75" customHeight="1">
      <c r="B470" s="9"/>
      <c r="C470" s="9"/>
    </row>
    <row r="471" ht="15.75" customHeight="1">
      <c r="B471" s="9"/>
      <c r="C471" s="9"/>
    </row>
    <row r="472" ht="15.75" customHeight="1">
      <c r="B472" s="9"/>
      <c r="C472" s="9"/>
    </row>
    <row r="473" ht="15.75" customHeight="1">
      <c r="B473" s="9"/>
      <c r="C473" s="9"/>
    </row>
    <row r="474" ht="15.75" customHeight="1">
      <c r="B474" s="9"/>
      <c r="C474" s="9"/>
    </row>
    <row r="475" ht="15.75" customHeight="1">
      <c r="B475" s="9"/>
      <c r="C475" s="9"/>
    </row>
    <row r="476" ht="15.75" customHeight="1">
      <c r="B476" s="9"/>
      <c r="C476" s="9"/>
    </row>
    <row r="477" ht="15.75" customHeight="1">
      <c r="B477" s="9"/>
      <c r="C477" s="9"/>
    </row>
    <row r="478" ht="15.75" customHeight="1">
      <c r="B478" s="9"/>
      <c r="C478" s="9"/>
    </row>
    <row r="479" ht="15.75" customHeight="1">
      <c r="B479" s="9"/>
      <c r="C479" s="9"/>
    </row>
    <row r="480" ht="15.75" customHeight="1">
      <c r="B480" s="9"/>
      <c r="C480" s="9"/>
    </row>
    <row r="481" ht="15.75" customHeight="1">
      <c r="B481" s="9"/>
      <c r="C481" s="9"/>
    </row>
    <row r="482" ht="15.75" customHeight="1">
      <c r="B482" s="9"/>
      <c r="C482" s="9"/>
    </row>
    <row r="483" ht="15.75" customHeight="1">
      <c r="B483" s="9"/>
      <c r="C483" s="9"/>
    </row>
    <row r="484" ht="15.75" customHeight="1">
      <c r="B484" s="9"/>
      <c r="C484" s="9"/>
    </row>
    <row r="485" ht="15.75" customHeight="1">
      <c r="B485" s="9"/>
      <c r="C485" s="9"/>
    </row>
    <row r="486" ht="15.75" customHeight="1">
      <c r="B486" s="9"/>
      <c r="C486" s="9"/>
    </row>
    <row r="487" ht="15.75" customHeight="1">
      <c r="B487" s="9"/>
      <c r="C487" s="9"/>
    </row>
    <row r="488" ht="15.75" customHeight="1">
      <c r="B488" s="9"/>
      <c r="C488" s="9"/>
    </row>
    <row r="489" ht="15.75" customHeight="1">
      <c r="B489" s="9"/>
      <c r="C489" s="9"/>
    </row>
    <row r="490" ht="15.75" customHeight="1">
      <c r="B490" s="9"/>
      <c r="C490" s="9"/>
    </row>
    <row r="491" ht="15.75" customHeight="1">
      <c r="B491" s="9"/>
      <c r="C491" s="9"/>
    </row>
    <row r="492" ht="15.75" customHeight="1">
      <c r="B492" s="9"/>
      <c r="C492" s="9"/>
    </row>
    <row r="493" ht="15.75" customHeight="1">
      <c r="B493" s="9"/>
      <c r="C493" s="9"/>
    </row>
    <row r="494" ht="15.75" customHeight="1">
      <c r="B494" s="9"/>
      <c r="C494" s="9"/>
    </row>
    <row r="495" ht="15.75" customHeight="1">
      <c r="B495" s="9"/>
      <c r="C495" s="9"/>
    </row>
    <row r="496" ht="15.75" customHeight="1">
      <c r="B496" s="9"/>
      <c r="C496" s="9"/>
    </row>
    <row r="497" ht="15.75" customHeight="1">
      <c r="B497" s="9"/>
      <c r="C497" s="9"/>
    </row>
    <row r="498" ht="15.75" customHeight="1">
      <c r="B498" s="9"/>
      <c r="C498" s="9"/>
    </row>
    <row r="499" ht="15.75" customHeight="1">
      <c r="B499" s="9"/>
      <c r="C499" s="9"/>
    </row>
    <row r="500" ht="15.75" customHeight="1">
      <c r="B500" s="9"/>
      <c r="C500" s="9"/>
    </row>
    <row r="501" ht="15.75" customHeight="1">
      <c r="B501" s="9"/>
      <c r="C501" s="9"/>
    </row>
    <row r="502" ht="15.75" customHeight="1">
      <c r="B502" s="9"/>
      <c r="C502" s="9"/>
    </row>
    <row r="503" ht="15.75" customHeight="1">
      <c r="B503" s="9"/>
      <c r="C503" s="9"/>
    </row>
    <row r="504" ht="15.75" customHeight="1">
      <c r="B504" s="9"/>
      <c r="C504" s="9"/>
    </row>
    <row r="505" ht="15.75" customHeight="1">
      <c r="B505" s="9"/>
      <c r="C505" s="9"/>
    </row>
    <row r="506" ht="15.75" customHeight="1">
      <c r="B506" s="9"/>
      <c r="C506" s="9"/>
    </row>
    <row r="507" ht="15.75" customHeight="1">
      <c r="B507" s="9"/>
      <c r="C507" s="9"/>
    </row>
    <row r="508" ht="15.75" customHeight="1">
      <c r="B508" s="9"/>
      <c r="C508" s="9"/>
    </row>
    <row r="509" ht="15.75" customHeight="1">
      <c r="B509" s="9"/>
      <c r="C509" s="9"/>
    </row>
    <row r="510" ht="15.75" customHeight="1">
      <c r="B510" s="9"/>
      <c r="C510" s="9"/>
    </row>
    <row r="511" ht="15.75" customHeight="1">
      <c r="B511" s="9"/>
      <c r="C511" s="9"/>
    </row>
    <row r="512" ht="15.75" customHeight="1">
      <c r="B512" s="9"/>
      <c r="C512" s="9"/>
    </row>
    <row r="513" ht="15.75" customHeight="1">
      <c r="B513" s="9"/>
      <c r="C513" s="9"/>
    </row>
    <row r="514" ht="15.75" customHeight="1">
      <c r="B514" s="9"/>
      <c r="C514" s="9"/>
    </row>
    <row r="515" ht="15.75" customHeight="1">
      <c r="B515" s="9"/>
      <c r="C515" s="9"/>
    </row>
    <row r="516" ht="15.75" customHeight="1">
      <c r="B516" s="9"/>
      <c r="C516" s="9"/>
    </row>
    <row r="517" ht="15.75" customHeight="1">
      <c r="B517" s="9"/>
      <c r="C517" s="9"/>
    </row>
    <row r="518" ht="15.75" customHeight="1">
      <c r="B518" s="9"/>
      <c r="C518" s="9"/>
    </row>
    <row r="519" ht="15.75" customHeight="1">
      <c r="B519" s="9"/>
      <c r="C519" s="9"/>
    </row>
    <row r="520" ht="15.75" customHeight="1">
      <c r="B520" s="9"/>
      <c r="C520" s="9"/>
    </row>
    <row r="521" ht="15.75" customHeight="1">
      <c r="B521" s="9"/>
      <c r="C521" s="9"/>
    </row>
    <row r="522" ht="15.75" customHeight="1">
      <c r="B522" s="9"/>
      <c r="C522" s="9"/>
    </row>
    <row r="523" ht="15.75" customHeight="1">
      <c r="B523" s="9"/>
      <c r="C523" s="9"/>
    </row>
    <row r="524" ht="15.75" customHeight="1">
      <c r="B524" s="9"/>
      <c r="C524" s="9"/>
    </row>
    <row r="525" ht="15.75" customHeight="1">
      <c r="B525" s="9"/>
      <c r="C525" s="9"/>
    </row>
    <row r="526" ht="15.75" customHeight="1">
      <c r="B526" s="9"/>
      <c r="C526" s="9"/>
    </row>
    <row r="527" ht="15.75" customHeight="1">
      <c r="B527" s="9"/>
      <c r="C527" s="9"/>
    </row>
    <row r="528" ht="15.75" customHeight="1">
      <c r="B528" s="9"/>
      <c r="C528" s="9"/>
    </row>
    <row r="529" ht="15.75" customHeight="1">
      <c r="B529" s="9"/>
      <c r="C529" s="9"/>
    </row>
    <row r="530" ht="15.75" customHeight="1">
      <c r="B530" s="9"/>
      <c r="C530" s="9"/>
    </row>
    <row r="531" ht="15.75" customHeight="1">
      <c r="B531" s="9"/>
      <c r="C531" s="9"/>
    </row>
    <row r="532" ht="15.75" customHeight="1">
      <c r="B532" s="9"/>
      <c r="C532" s="9"/>
    </row>
    <row r="533" ht="15.75" customHeight="1">
      <c r="B533" s="9"/>
      <c r="C533" s="9"/>
    </row>
    <row r="534" ht="15.75" customHeight="1">
      <c r="B534" s="9"/>
      <c r="C534" s="9"/>
    </row>
    <row r="535" ht="15.75" customHeight="1">
      <c r="B535" s="9"/>
      <c r="C535" s="9"/>
    </row>
    <row r="536" ht="15.75" customHeight="1">
      <c r="B536" s="9"/>
      <c r="C536" s="9"/>
    </row>
    <row r="537" ht="15.75" customHeight="1">
      <c r="B537" s="9"/>
      <c r="C537" s="9"/>
    </row>
    <row r="538" ht="15.75" customHeight="1">
      <c r="B538" s="9"/>
      <c r="C538" s="9"/>
    </row>
    <row r="539" ht="15.75" customHeight="1">
      <c r="B539" s="9"/>
      <c r="C539" s="9"/>
    </row>
    <row r="540" ht="15.75" customHeight="1">
      <c r="B540" s="9"/>
      <c r="C540" s="9"/>
    </row>
    <row r="541" ht="15.75" customHeight="1">
      <c r="B541" s="9"/>
      <c r="C541" s="9"/>
    </row>
    <row r="542" ht="15.75" customHeight="1">
      <c r="B542" s="9"/>
      <c r="C542" s="9"/>
    </row>
    <row r="543" ht="15.75" customHeight="1">
      <c r="B543" s="9"/>
      <c r="C543" s="9"/>
    </row>
    <row r="544" ht="15.75" customHeight="1">
      <c r="B544" s="9"/>
      <c r="C544" s="9"/>
    </row>
    <row r="545" ht="15.75" customHeight="1">
      <c r="B545" s="9"/>
      <c r="C545" s="9"/>
    </row>
    <row r="546" ht="15.75" customHeight="1">
      <c r="B546" s="9"/>
      <c r="C546" s="9"/>
    </row>
    <row r="547" ht="15.75" customHeight="1">
      <c r="B547" s="9"/>
      <c r="C547" s="9"/>
    </row>
    <row r="548" ht="15.75" customHeight="1">
      <c r="B548" s="9"/>
      <c r="C548" s="9"/>
    </row>
    <row r="549" ht="15.75" customHeight="1">
      <c r="B549" s="9"/>
      <c r="C549" s="9"/>
    </row>
    <row r="550" ht="15.75" customHeight="1">
      <c r="B550" s="9"/>
      <c r="C550" s="9"/>
    </row>
    <row r="551" ht="15.75" customHeight="1">
      <c r="B551" s="9"/>
      <c r="C551" s="9"/>
    </row>
    <row r="552" ht="15.75" customHeight="1">
      <c r="B552" s="9"/>
      <c r="C552" s="9"/>
    </row>
    <row r="553" ht="15.75" customHeight="1">
      <c r="B553" s="9"/>
      <c r="C553" s="9"/>
    </row>
    <row r="554" ht="15.75" customHeight="1">
      <c r="B554" s="9"/>
      <c r="C554" s="9"/>
    </row>
    <row r="555" ht="15.75" customHeight="1">
      <c r="B555" s="9"/>
      <c r="C555" s="9"/>
    </row>
    <row r="556" ht="15.75" customHeight="1">
      <c r="B556" s="9"/>
      <c r="C556" s="9"/>
    </row>
    <row r="557" ht="15.75" customHeight="1">
      <c r="B557" s="9"/>
      <c r="C557" s="9"/>
    </row>
    <row r="558" ht="15.75" customHeight="1">
      <c r="B558" s="9"/>
      <c r="C558" s="9"/>
    </row>
    <row r="559" ht="15.75" customHeight="1">
      <c r="B559" s="9"/>
      <c r="C559" s="9"/>
    </row>
    <row r="560" ht="15.75" customHeight="1">
      <c r="B560" s="9"/>
      <c r="C560" s="9"/>
    </row>
    <row r="561" ht="15.75" customHeight="1">
      <c r="B561" s="9"/>
      <c r="C561" s="9"/>
    </row>
    <row r="562" ht="15.75" customHeight="1">
      <c r="B562" s="9"/>
      <c r="C562" s="9"/>
    </row>
    <row r="563" ht="15.75" customHeight="1">
      <c r="B563" s="9"/>
      <c r="C563" s="9"/>
    </row>
    <row r="564" ht="15.75" customHeight="1">
      <c r="B564" s="9"/>
      <c r="C564" s="9"/>
    </row>
    <row r="565" ht="15.75" customHeight="1">
      <c r="B565" s="9"/>
      <c r="C565" s="9"/>
    </row>
    <row r="566" ht="15.75" customHeight="1">
      <c r="B566" s="9"/>
      <c r="C566" s="9"/>
    </row>
    <row r="567" ht="15.75" customHeight="1">
      <c r="B567" s="9"/>
      <c r="C567" s="9"/>
    </row>
    <row r="568" ht="15.75" customHeight="1">
      <c r="B568" s="9"/>
      <c r="C568" s="9"/>
    </row>
    <row r="569" ht="15.75" customHeight="1">
      <c r="B569" s="9"/>
      <c r="C569" s="9"/>
    </row>
    <row r="570" ht="15.75" customHeight="1">
      <c r="B570" s="9"/>
      <c r="C570" s="9"/>
    </row>
    <row r="571" ht="15.75" customHeight="1">
      <c r="B571" s="9"/>
      <c r="C571" s="9"/>
    </row>
    <row r="572" ht="15.75" customHeight="1">
      <c r="B572" s="9"/>
      <c r="C572" s="9"/>
    </row>
    <row r="573" ht="15.75" customHeight="1">
      <c r="B573" s="9"/>
      <c r="C573" s="9"/>
    </row>
    <row r="574" ht="15.75" customHeight="1">
      <c r="B574" s="9"/>
      <c r="C574" s="9"/>
    </row>
    <row r="575" ht="15.75" customHeight="1">
      <c r="B575" s="9"/>
      <c r="C575" s="9"/>
    </row>
    <row r="576" ht="15.75" customHeight="1">
      <c r="B576" s="9"/>
      <c r="C576" s="9"/>
    </row>
    <row r="577" ht="15.75" customHeight="1">
      <c r="B577" s="9"/>
      <c r="C577" s="9"/>
    </row>
    <row r="578" ht="15.75" customHeight="1">
      <c r="B578" s="9"/>
      <c r="C578" s="9"/>
    </row>
    <row r="579" ht="15.75" customHeight="1">
      <c r="B579" s="9"/>
      <c r="C579" s="9"/>
    </row>
    <row r="580" ht="15.75" customHeight="1">
      <c r="B580" s="9"/>
      <c r="C580" s="9"/>
    </row>
    <row r="581" ht="15.75" customHeight="1">
      <c r="B581" s="9"/>
      <c r="C581" s="9"/>
    </row>
    <row r="582" ht="15.75" customHeight="1">
      <c r="B582" s="9"/>
      <c r="C582" s="9"/>
    </row>
    <row r="583" ht="15.75" customHeight="1">
      <c r="B583" s="9"/>
      <c r="C583" s="9"/>
    </row>
    <row r="584" ht="15.75" customHeight="1">
      <c r="B584" s="9"/>
      <c r="C584" s="9"/>
    </row>
    <row r="585" ht="15.75" customHeight="1">
      <c r="B585" s="9"/>
      <c r="C585" s="9"/>
    </row>
    <row r="586" ht="15.75" customHeight="1">
      <c r="B586" s="9"/>
      <c r="C586" s="9"/>
    </row>
    <row r="587" ht="15.75" customHeight="1">
      <c r="B587" s="9"/>
      <c r="C587" s="9"/>
    </row>
    <row r="588" ht="15.75" customHeight="1">
      <c r="B588" s="9"/>
      <c r="C588" s="9"/>
    </row>
    <row r="589" ht="15.75" customHeight="1">
      <c r="B589" s="9"/>
      <c r="C589" s="9"/>
    </row>
    <row r="590" ht="15.75" customHeight="1">
      <c r="B590" s="9"/>
      <c r="C590" s="9"/>
    </row>
    <row r="591" ht="15.75" customHeight="1">
      <c r="B591" s="9"/>
      <c r="C591" s="9"/>
    </row>
    <row r="592" ht="15.75" customHeight="1">
      <c r="B592" s="9"/>
      <c r="C592" s="9"/>
    </row>
    <row r="593" ht="15.75" customHeight="1">
      <c r="B593" s="9"/>
      <c r="C593" s="9"/>
    </row>
    <row r="594" ht="15.75" customHeight="1">
      <c r="B594" s="9"/>
      <c r="C594" s="9"/>
    </row>
    <row r="595" ht="15.75" customHeight="1">
      <c r="B595" s="9"/>
      <c r="C595" s="9"/>
    </row>
    <row r="596" ht="15.75" customHeight="1">
      <c r="B596" s="9"/>
      <c r="C596" s="9"/>
    </row>
    <row r="597" ht="15.75" customHeight="1">
      <c r="B597" s="9"/>
      <c r="C597" s="9"/>
    </row>
    <row r="598" ht="15.75" customHeight="1">
      <c r="B598" s="9"/>
      <c r="C598" s="9"/>
    </row>
    <row r="599" ht="15.75" customHeight="1">
      <c r="B599" s="9"/>
      <c r="C599" s="9"/>
    </row>
    <row r="600" ht="15.75" customHeight="1">
      <c r="B600" s="9"/>
      <c r="C600" s="9"/>
    </row>
    <row r="601" ht="15.75" customHeight="1">
      <c r="B601" s="9"/>
      <c r="C601" s="9"/>
    </row>
    <row r="602" ht="15.75" customHeight="1">
      <c r="B602" s="9"/>
      <c r="C602" s="9"/>
    </row>
    <row r="603" ht="15.75" customHeight="1">
      <c r="B603" s="9"/>
      <c r="C603" s="9"/>
    </row>
    <row r="604" ht="15.75" customHeight="1">
      <c r="B604" s="9"/>
      <c r="C604" s="9"/>
    </row>
    <row r="605" ht="15.75" customHeight="1">
      <c r="B605" s="9"/>
      <c r="C605" s="9"/>
    </row>
    <row r="606" ht="15.75" customHeight="1">
      <c r="B606" s="9"/>
      <c r="C606" s="9"/>
    </row>
    <row r="607" ht="15.75" customHeight="1">
      <c r="B607" s="9"/>
      <c r="C607" s="9"/>
    </row>
    <row r="608" ht="15.75" customHeight="1">
      <c r="B608" s="9"/>
      <c r="C608" s="9"/>
    </row>
    <row r="609" ht="15.75" customHeight="1">
      <c r="B609" s="9"/>
      <c r="C609" s="9"/>
    </row>
    <row r="610" ht="15.75" customHeight="1">
      <c r="B610" s="9"/>
      <c r="C610" s="9"/>
    </row>
    <row r="611" ht="15.75" customHeight="1">
      <c r="B611" s="9"/>
      <c r="C611" s="9"/>
    </row>
    <row r="612" ht="15.75" customHeight="1">
      <c r="B612" s="9"/>
      <c r="C612" s="9"/>
    </row>
    <row r="613" ht="15.75" customHeight="1">
      <c r="B613" s="9"/>
      <c r="C613" s="9"/>
    </row>
    <row r="614" ht="15.75" customHeight="1">
      <c r="B614" s="9"/>
      <c r="C614" s="9"/>
    </row>
    <row r="615" ht="15.75" customHeight="1">
      <c r="B615" s="9"/>
      <c r="C615" s="9"/>
    </row>
    <row r="616" ht="15.75" customHeight="1">
      <c r="B616" s="9"/>
      <c r="C616" s="9"/>
    </row>
    <row r="617" ht="15.75" customHeight="1">
      <c r="B617" s="9"/>
      <c r="C617" s="9"/>
    </row>
    <row r="618" ht="15.75" customHeight="1">
      <c r="B618" s="9"/>
      <c r="C618" s="9"/>
    </row>
    <row r="619" ht="15.75" customHeight="1">
      <c r="B619" s="9"/>
      <c r="C619" s="9"/>
    </row>
    <row r="620" ht="15.75" customHeight="1">
      <c r="B620" s="9"/>
      <c r="C620" s="9"/>
    </row>
    <row r="621" ht="15.75" customHeight="1">
      <c r="B621" s="9"/>
      <c r="C621" s="9"/>
    </row>
    <row r="622" ht="15.75" customHeight="1">
      <c r="B622" s="9"/>
      <c r="C622" s="9"/>
    </row>
    <row r="623" ht="15.75" customHeight="1">
      <c r="B623" s="9"/>
      <c r="C623" s="9"/>
    </row>
    <row r="624" ht="15.75" customHeight="1">
      <c r="B624" s="9"/>
      <c r="C624" s="9"/>
    </row>
    <row r="625" ht="15.75" customHeight="1">
      <c r="B625" s="9"/>
      <c r="C625" s="9"/>
    </row>
    <row r="626" ht="15.75" customHeight="1">
      <c r="B626" s="9"/>
      <c r="C626" s="9"/>
    </row>
    <row r="627" ht="15.75" customHeight="1">
      <c r="B627" s="9"/>
      <c r="C627" s="9"/>
    </row>
    <row r="628" ht="15.75" customHeight="1">
      <c r="B628" s="9"/>
      <c r="C628" s="9"/>
    </row>
    <row r="629" ht="15.75" customHeight="1">
      <c r="B629" s="9"/>
      <c r="C629" s="9"/>
    </row>
    <row r="630" ht="15.75" customHeight="1">
      <c r="B630" s="9"/>
      <c r="C630" s="9"/>
    </row>
    <row r="631" ht="15.75" customHeight="1">
      <c r="B631" s="9"/>
      <c r="C631" s="9"/>
    </row>
    <row r="632" ht="15.75" customHeight="1">
      <c r="B632" s="9"/>
      <c r="C632" s="9"/>
    </row>
    <row r="633" ht="15.75" customHeight="1">
      <c r="B633" s="9"/>
      <c r="C633" s="9"/>
    </row>
    <row r="634" ht="15.75" customHeight="1">
      <c r="B634" s="9"/>
      <c r="C634" s="9"/>
    </row>
    <row r="635" ht="15.75" customHeight="1">
      <c r="B635" s="9"/>
      <c r="C635" s="9"/>
    </row>
    <row r="636" ht="15.75" customHeight="1">
      <c r="B636" s="9"/>
      <c r="C636" s="9"/>
    </row>
    <row r="637" ht="15.75" customHeight="1">
      <c r="B637" s="9"/>
      <c r="C637" s="9"/>
    </row>
    <row r="638" ht="15.75" customHeight="1">
      <c r="B638" s="9"/>
      <c r="C638" s="9"/>
    </row>
    <row r="639" ht="15.75" customHeight="1">
      <c r="B639" s="9"/>
      <c r="C639" s="9"/>
    </row>
    <row r="640" ht="15.75" customHeight="1">
      <c r="B640" s="9"/>
      <c r="C640" s="9"/>
    </row>
    <row r="641" ht="15.75" customHeight="1">
      <c r="B641" s="9"/>
      <c r="C641" s="9"/>
    </row>
    <row r="642" ht="15.75" customHeight="1">
      <c r="B642" s="9"/>
      <c r="C642" s="9"/>
    </row>
    <row r="643" ht="15.75" customHeight="1">
      <c r="B643" s="9"/>
      <c r="C643" s="9"/>
    </row>
    <row r="644" ht="15.75" customHeight="1">
      <c r="B644" s="9"/>
      <c r="C644" s="9"/>
    </row>
    <row r="645" ht="15.75" customHeight="1">
      <c r="B645" s="9"/>
      <c r="C645" s="9"/>
    </row>
    <row r="646" ht="15.75" customHeight="1">
      <c r="B646" s="9"/>
      <c r="C646" s="9"/>
    </row>
    <row r="647" ht="15.75" customHeight="1">
      <c r="B647" s="9"/>
      <c r="C647" s="9"/>
    </row>
    <row r="648" ht="15.75" customHeight="1">
      <c r="B648" s="9"/>
      <c r="C648" s="9"/>
    </row>
    <row r="649" ht="15.75" customHeight="1">
      <c r="B649" s="9"/>
      <c r="C649" s="9"/>
    </row>
    <row r="650" ht="15.75" customHeight="1">
      <c r="B650" s="9"/>
      <c r="C650" s="9"/>
    </row>
    <row r="651" ht="15.75" customHeight="1">
      <c r="B651" s="9"/>
      <c r="C651" s="9"/>
    </row>
    <row r="652" ht="15.75" customHeight="1">
      <c r="B652" s="9"/>
      <c r="C652" s="9"/>
    </row>
    <row r="653" ht="15.75" customHeight="1">
      <c r="B653" s="9"/>
      <c r="C653" s="9"/>
    </row>
    <row r="654" ht="15.75" customHeight="1">
      <c r="B654" s="9"/>
      <c r="C654" s="9"/>
    </row>
    <row r="655" ht="15.75" customHeight="1">
      <c r="B655" s="9"/>
      <c r="C655" s="9"/>
    </row>
    <row r="656" ht="15.75" customHeight="1">
      <c r="B656" s="9"/>
      <c r="C656" s="9"/>
    </row>
    <row r="657" ht="15.75" customHeight="1">
      <c r="B657" s="9"/>
      <c r="C657" s="9"/>
    </row>
    <row r="658" ht="15.75" customHeight="1">
      <c r="B658" s="9"/>
      <c r="C658" s="9"/>
    </row>
    <row r="659" ht="15.75" customHeight="1">
      <c r="B659" s="9"/>
      <c r="C659" s="9"/>
    </row>
    <row r="660" ht="15.75" customHeight="1">
      <c r="B660" s="9"/>
      <c r="C660" s="9"/>
    </row>
    <row r="661" ht="15.75" customHeight="1">
      <c r="B661" s="9"/>
      <c r="C661" s="9"/>
    </row>
    <row r="662" ht="15.75" customHeight="1">
      <c r="B662" s="9"/>
      <c r="C662" s="9"/>
    </row>
    <row r="663" ht="15.75" customHeight="1">
      <c r="B663" s="9"/>
      <c r="C663" s="9"/>
    </row>
    <row r="664" ht="15.75" customHeight="1">
      <c r="B664" s="9"/>
      <c r="C664" s="9"/>
    </row>
    <row r="665" ht="15.75" customHeight="1">
      <c r="B665" s="9"/>
      <c r="C665" s="9"/>
    </row>
    <row r="666" ht="15.75" customHeight="1">
      <c r="B666" s="9"/>
      <c r="C666" s="9"/>
    </row>
    <row r="667" ht="15.75" customHeight="1">
      <c r="B667" s="9"/>
      <c r="C667" s="9"/>
    </row>
    <row r="668" ht="15.75" customHeight="1">
      <c r="B668" s="9"/>
      <c r="C668" s="9"/>
    </row>
    <row r="669" ht="15.75" customHeight="1">
      <c r="B669" s="9"/>
      <c r="C669" s="9"/>
    </row>
    <row r="670" ht="15.75" customHeight="1">
      <c r="B670" s="9"/>
      <c r="C670" s="9"/>
    </row>
    <row r="671" ht="15.75" customHeight="1">
      <c r="B671" s="9"/>
      <c r="C671" s="9"/>
    </row>
    <row r="672" ht="15.75" customHeight="1">
      <c r="B672" s="9"/>
      <c r="C672" s="9"/>
    </row>
    <row r="673" ht="15.75" customHeight="1">
      <c r="B673" s="9"/>
      <c r="C673" s="9"/>
    </row>
    <row r="674" ht="15.75" customHeight="1">
      <c r="B674" s="9"/>
      <c r="C674" s="9"/>
    </row>
    <row r="675" ht="15.75" customHeight="1">
      <c r="B675" s="9"/>
      <c r="C675" s="9"/>
    </row>
    <row r="676" ht="15.75" customHeight="1">
      <c r="B676" s="9"/>
      <c r="C676" s="9"/>
    </row>
    <row r="677" ht="15.75" customHeight="1">
      <c r="B677" s="9"/>
      <c r="C677" s="9"/>
    </row>
    <row r="678" ht="15.75" customHeight="1">
      <c r="B678" s="9"/>
      <c r="C678" s="9"/>
    </row>
    <row r="679" ht="15.75" customHeight="1">
      <c r="B679" s="9"/>
      <c r="C679" s="9"/>
    </row>
    <row r="680" ht="15.75" customHeight="1">
      <c r="B680" s="9"/>
      <c r="C680" s="9"/>
    </row>
    <row r="681" ht="15.75" customHeight="1">
      <c r="B681" s="9"/>
      <c r="C681" s="9"/>
    </row>
    <row r="682" ht="15.75" customHeight="1">
      <c r="B682" s="9"/>
      <c r="C682" s="9"/>
    </row>
    <row r="683" ht="15.75" customHeight="1">
      <c r="B683" s="9"/>
      <c r="C683" s="9"/>
    </row>
    <row r="684" ht="15.75" customHeight="1">
      <c r="B684" s="9"/>
      <c r="C684" s="9"/>
    </row>
    <row r="685" ht="15.75" customHeight="1">
      <c r="B685" s="9"/>
      <c r="C685" s="9"/>
    </row>
    <row r="686" ht="15.75" customHeight="1">
      <c r="B686" s="9"/>
      <c r="C686" s="9"/>
    </row>
    <row r="687" ht="15.75" customHeight="1">
      <c r="B687" s="9"/>
      <c r="C687" s="9"/>
    </row>
    <row r="688" ht="15.75" customHeight="1">
      <c r="B688" s="9"/>
      <c r="C688" s="9"/>
    </row>
    <row r="689" ht="15.75" customHeight="1">
      <c r="B689" s="9"/>
      <c r="C689" s="9"/>
    </row>
    <row r="690" ht="15.75" customHeight="1">
      <c r="B690" s="9"/>
      <c r="C690" s="9"/>
    </row>
    <row r="691" ht="15.75" customHeight="1">
      <c r="B691" s="9"/>
      <c r="C691" s="9"/>
    </row>
    <row r="692" ht="15.75" customHeight="1">
      <c r="B692" s="9"/>
      <c r="C692" s="9"/>
    </row>
    <row r="693" ht="15.75" customHeight="1">
      <c r="B693" s="9"/>
      <c r="C693" s="9"/>
    </row>
    <row r="694" ht="15.75" customHeight="1">
      <c r="B694" s="9"/>
      <c r="C694" s="9"/>
    </row>
    <row r="695" ht="15.75" customHeight="1">
      <c r="B695" s="9"/>
      <c r="C695" s="9"/>
    </row>
    <row r="696" ht="15.75" customHeight="1">
      <c r="B696" s="9"/>
      <c r="C696" s="9"/>
    </row>
    <row r="697" ht="15.75" customHeight="1">
      <c r="B697" s="9"/>
      <c r="C697" s="9"/>
    </row>
    <row r="698" ht="15.75" customHeight="1">
      <c r="B698" s="9"/>
      <c r="C698" s="9"/>
    </row>
    <row r="699" ht="15.75" customHeight="1">
      <c r="B699" s="9"/>
      <c r="C699" s="9"/>
    </row>
    <row r="700" ht="15.75" customHeight="1">
      <c r="B700" s="9"/>
      <c r="C700" s="9"/>
    </row>
    <row r="701" ht="15.75" customHeight="1">
      <c r="B701" s="9"/>
      <c r="C701" s="9"/>
    </row>
    <row r="702" ht="15.75" customHeight="1">
      <c r="B702" s="9"/>
      <c r="C702" s="9"/>
    </row>
    <row r="703" ht="15.75" customHeight="1">
      <c r="B703" s="9"/>
      <c r="C703" s="9"/>
    </row>
    <row r="704" ht="15.75" customHeight="1">
      <c r="B704" s="9"/>
      <c r="C704" s="9"/>
    </row>
    <row r="705" ht="15.75" customHeight="1">
      <c r="B705" s="9"/>
      <c r="C705" s="9"/>
    </row>
    <row r="706" ht="15.75" customHeight="1">
      <c r="B706" s="9"/>
      <c r="C706" s="9"/>
    </row>
    <row r="707" ht="15.75" customHeight="1">
      <c r="B707" s="9"/>
      <c r="C707" s="9"/>
    </row>
    <row r="708" ht="15.75" customHeight="1">
      <c r="B708" s="9"/>
      <c r="C708" s="9"/>
    </row>
    <row r="709" ht="15.75" customHeight="1">
      <c r="B709" s="9"/>
      <c r="C709" s="9"/>
    </row>
    <row r="710" ht="15.75" customHeight="1">
      <c r="B710" s="9"/>
      <c r="C710" s="9"/>
    </row>
    <row r="711" ht="15.75" customHeight="1">
      <c r="B711" s="9"/>
      <c r="C711" s="9"/>
    </row>
    <row r="712" ht="15.75" customHeight="1">
      <c r="B712" s="9"/>
      <c r="C712" s="9"/>
    </row>
    <row r="713" ht="15.75" customHeight="1">
      <c r="B713" s="9"/>
      <c r="C713" s="9"/>
    </row>
    <row r="714" ht="15.75" customHeight="1">
      <c r="B714" s="9"/>
      <c r="C714" s="9"/>
    </row>
    <row r="715" ht="15.75" customHeight="1">
      <c r="B715" s="9"/>
      <c r="C715" s="9"/>
    </row>
    <row r="716" ht="15.75" customHeight="1">
      <c r="B716" s="9"/>
      <c r="C716" s="9"/>
    </row>
    <row r="717" ht="15.75" customHeight="1">
      <c r="B717" s="9"/>
      <c r="C717" s="9"/>
    </row>
    <row r="718" ht="15.75" customHeight="1">
      <c r="B718" s="9"/>
      <c r="C718" s="9"/>
    </row>
    <row r="719" ht="15.75" customHeight="1">
      <c r="B719" s="9"/>
      <c r="C719" s="9"/>
    </row>
    <row r="720" ht="15.75" customHeight="1">
      <c r="B720" s="9"/>
      <c r="C720" s="9"/>
    </row>
    <row r="721" ht="15.75" customHeight="1">
      <c r="B721" s="9"/>
      <c r="C721" s="9"/>
    </row>
    <row r="722" ht="15.75" customHeight="1">
      <c r="B722" s="9"/>
      <c r="C722" s="9"/>
    </row>
    <row r="723" ht="15.75" customHeight="1">
      <c r="B723" s="9"/>
      <c r="C723" s="9"/>
    </row>
    <row r="724" ht="15.75" customHeight="1">
      <c r="B724" s="9"/>
      <c r="C724" s="9"/>
    </row>
    <row r="725" ht="15.75" customHeight="1">
      <c r="B725" s="9"/>
      <c r="C725" s="9"/>
    </row>
    <row r="726" ht="15.75" customHeight="1">
      <c r="B726" s="9"/>
      <c r="C726" s="9"/>
    </row>
    <row r="727" ht="15.75" customHeight="1">
      <c r="B727" s="9"/>
      <c r="C727" s="9"/>
    </row>
    <row r="728" ht="15.75" customHeight="1">
      <c r="B728" s="9"/>
      <c r="C728" s="9"/>
    </row>
    <row r="729" ht="15.75" customHeight="1">
      <c r="B729" s="9"/>
      <c r="C729" s="9"/>
    </row>
    <row r="730" ht="15.75" customHeight="1">
      <c r="B730" s="9"/>
      <c r="C730" s="9"/>
    </row>
    <row r="731" ht="15.75" customHeight="1">
      <c r="B731" s="9"/>
      <c r="C731" s="9"/>
    </row>
    <row r="732" ht="15.75" customHeight="1">
      <c r="B732" s="9"/>
      <c r="C732" s="9"/>
    </row>
    <row r="733" ht="15.75" customHeight="1">
      <c r="B733" s="9"/>
      <c r="C733" s="9"/>
    </row>
    <row r="734" ht="15.75" customHeight="1">
      <c r="B734" s="9"/>
      <c r="C734" s="9"/>
    </row>
    <row r="735" ht="15.75" customHeight="1">
      <c r="B735" s="9"/>
      <c r="C735" s="9"/>
    </row>
    <row r="736" ht="15.75" customHeight="1">
      <c r="B736" s="9"/>
      <c r="C736" s="9"/>
    </row>
    <row r="737" ht="15.75" customHeight="1">
      <c r="B737" s="9"/>
      <c r="C737" s="9"/>
    </row>
    <row r="738" ht="15.75" customHeight="1">
      <c r="B738" s="9"/>
      <c r="C738" s="9"/>
    </row>
    <row r="739" ht="15.75" customHeight="1">
      <c r="B739" s="9"/>
      <c r="C739" s="9"/>
    </row>
    <row r="740" ht="15.75" customHeight="1">
      <c r="B740" s="9"/>
      <c r="C740" s="9"/>
    </row>
    <row r="741" ht="15.75" customHeight="1">
      <c r="B741" s="9"/>
      <c r="C741" s="9"/>
    </row>
    <row r="742" ht="15.75" customHeight="1">
      <c r="B742" s="9"/>
      <c r="C742" s="9"/>
    </row>
    <row r="743" ht="15.75" customHeight="1">
      <c r="B743" s="9"/>
      <c r="C743" s="9"/>
    </row>
    <row r="744" ht="15.75" customHeight="1">
      <c r="B744" s="9"/>
      <c r="C744" s="9"/>
    </row>
    <row r="745" ht="15.75" customHeight="1">
      <c r="B745" s="9"/>
      <c r="C745" s="9"/>
    </row>
    <row r="746" ht="15.75" customHeight="1">
      <c r="B746" s="9"/>
      <c r="C746" s="9"/>
    </row>
    <row r="747" ht="15.75" customHeight="1">
      <c r="B747" s="9"/>
      <c r="C747" s="9"/>
    </row>
    <row r="748" ht="15.75" customHeight="1">
      <c r="B748" s="9"/>
      <c r="C748" s="9"/>
    </row>
    <row r="749" ht="15.75" customHeight="1">
      <c r="B749" s="9"/>
      <c r="C749" s="9"/>
    </row>
    <row r="750" ht="15.75" customHeight="1">
      <c r="B750" s="9"/>
      <c r="C750" s="9"/>
    </row>
    <row r="751" ht="15.75" customHeight="1">
      <c r="B751" s="9"/>
      <c r="C751" s="9"/>
    </row>
    <row r="752" ht="15.75" customHeight="1">
      <c r="B752" s="9"/>
      <c r="C752" s="9"/>
    </row>
    <row r="753" ht="15.75" customHeight="1">
      <c r="B753" s="9"/>
      <c r="C753" s="9"/>
    </row>
    <row r="754" ht="15.75" customHeight="1">
      <c r="B754" s="9"/>
      <c r="C754" s="9"/>
    </row>
    <row r="755" ht="15.75" customHeight="1">
      <c r="B755" s="9"/>
      <c r="C755" s="9"/>
    </row>
    <row r="756" ht="15.75" customHeight="1">
      <c r="B756" s="9"/>
      <c r="C756" s="9"/>
    </row>
    <row r="757" ht="15.75" customHeight="1">
      <c r="B757" s="9"/>
      <c r="C757" s="9"/>
    </row>
    <row r="758" ht="15.75" customHeight="1">
      <c r="B758" s="9"/>
      <c r="C758" s="9"/>
    </row>
    <row r="759" ht="15.75" customHeight="1">
      <c r="B759" s="9"/>
      <c r="C759" s="9"/>
    </row>
    <row r="760" ht="15.75" customHeight="1">
      <c r="B760" s="9"/>
      <c r="C760" s="9"/>
    </row>
    <row r="761" ht="15.75" customHeight="1">
      <c r="B761" s="9"/>
      <c r="C761" s="9"/>
    </row>
    <row r="762" ht="15.75" customHeight="1">
      <c r="B762" s="9"/>
      <c r="C762" s="9"/>
    </row>
    <row r="763" ht="15.75" customHeight="1">
      <c r="B763" s="9"/>
      <c r="C763" s="9"/>
    </row>
    <row r="764" ht="15.75" customHeight="1">
      <c r="B764" s="9"/>
      <c r="C764" s="9"/>
    </row>
    <row r="765" ht="15.75" customHeight="1">
      <c r="B765" s="9"/>
      <c r="C765" s="9"/>
    </row>
    <row r="766" ht="15.75" customHeight="1">
      <c r="B766" s="9"/>
      <c r="C766" s="9"/>
    </row>
    <row r="767" ht="15.75" customHeight="1">
      <c r="B767" s="9"/>
      <c r="C767" s="9"/>
    </row>
    <row r="768" ht="15.75" customHeight="1">
      <c r="B768" s="9"/>
      <c r="C768" s="9"/>
    </row>
    <row r="769" ht="15.75" customHeight="1">
      <c r="B769" s="9"/>
      <c r="C769" s="9"/>
    </row>
    <row r="770" ht="15.75" customHeight="1">
      <c r="B770" s="9"/>
      <c r="C770" s="9"/>
    </row>
    <row r="771" ht="15.75" customHeight="1">
      <c r="B771" s="9"/>
      <c r="C771" s="9"/>
    </row>
    <row r="772" ht="15.75" customHeight="1">
      <c r="B772" s="9"/>
      <c r="C772" s="9"/>
    </row>
    <row r="773" ht="15.75" customHeight="1">
      <c r="B773" s="9"/>
      <c r="C773" s="9"/>
    </row>
    <row r="774" ht="15.75" customHeight="1">
      <c r="B774" s="9"/>
      <c r="C774" s="9"/>
    </row>
    <row r="775" ht="15.75" customHeight="1">
      <c r="B775" s="9"/>
      <c r="C775" s="9"/>
    </row>
    <row r="776" ht="15.75" customHeight="1">
      <c r="B776" s="9"/>
      <c r="C776" s="9"/>
    </row>
    <row r="777" ht="15.75" customHeight="1">
      <c r="B777" s="9"/>
      <c r="C777" s="9"/>
    </row>
    <row r="778" ht="15.75" customHeight="1">
      <c r="B778" s="9"/>
      <c r="C778" s="9"/>
    </row>
    <row r="779" ht="15.75" customHeight="1">
      <c r="B779" s="9"/>
      <c r="C779" s="9"/>
    </row>
    <row r="780" ht="15.75" customHeight="1">
      <c r="B780" s="9"/>
      <c r="C780" s="9"/>
    </row>
    <row r="781" ht="15.75" customHeight="1">
      <c r="B781" s="9"/>
      <c r="C781" s="9"/>
    </row>
    <row r="782" ht="15.75" customHeight="1">
      <c r="B782" s="9"/>
      <c r="C782" s="9"/>
    </row>
    <row r="783" ht="15.75" customHeight="1">
      <c r="B783" s="9"/>
      <c r="C783" s="9"/>
    </row>
    <row r="784" ht="15.75" customHeight="1">
      <c r="B784" s="9"/>
      <c r="C784" s="9"/>
    </row>
    <row r="785" ht="15.75" customHeight="1">
      <c r="B785" s="9"/>
      <c r="C785" s="9"/>
    </row>
    <row r="786" ht="15.75" customHeight="1">
      <c r="B786" s="9"/>
      <c r="C786" s="9"/>
    </row>
    <row r="787" ht="15.75" customHeight="1">
      <c r="B787" s="9"/>
      <c r="C787" s="9"/>
    </row>
    <row r="788" ht="15.75" customHeight="1">
      <c r="B788" s="9"/>
      <c r="C788" s="9"/>
    </row>
    <row r="789" ht="15.75" customHeight="1">
      <c r="B789" s="9"/>
      <c r="C789" s="9"/>
    </row>
    <row r="790" ht="15.75" customHeight="1">
      <c r="B790" s="9"/>
      <c r="C790" s="9"/>
    </row>
    <row r="791" ht="15.75" customHeight="1">
      <c r="B791" s="9"/>
      <c r="C791" s="9"/>
    </row>
    <row r="792" ht="15.75" customHeight="1">
      <c r="B792" s="9"/>
      <c r="C792" s="9"/>
    </row>
    <row r="793" ht="15.75" customHeight="1">
      <c r="B793" s="9"/>
      <c r="C793" s="9"/>
    </row>
    <row r="794" ht="15.75" customHeight="1">
      <c r="B794" s="9"/>
      <c r="C794" s="9"/>
    </row>
    <row r="795" ht="15.75" customHeight="1">
      <c r="B795" s="9"/>
      <c r="C795" s="9"/>
    </row>
    <row r="796" ht="15.75" customHeight="1">
      <c r="B796" s="9"/>
      <c r="C796" s="9"/>
    </row>
    <row r="797" ht="15.75" customHeight="1">
      <c r="B797" s="9"/>
      <c r="C797" s="9"/>
    </row>
    <row r="798" ht="15.75" customHeight="1">
      <c r="B798" s="9"/>
      <c r="C798" s="9"/>
    </row>
    <row r="799" ht="15.75" customHeight="1">
      <c r="B799" s="9"/>
      <c r="C799" s="9"/>
    </row>
    <row r="800" ht="15.75" customHeight="1">
      <c r="B800" s="9"/>
      <c r="C800" s="9"/>
    </row>
    <row r="801" ht="15.75" customHeight="1">
      <c r="B801" s="9"/>
      <c r="C801" s="9"/>
    </row>
    <row r="802" ht="15.75" customHeight="1">
      <c r="B802" s="9"/>
      <c r="C802" s="9"/>
    </row>
    <row r="803" ht="15.75" customHeight="1">
      <c r="B803" s="9"/>
      <c r="C803" s="9"/>
    </row>
    <row r="804" ht="15.75" customHeight="1">
      <c r="B804" s="9"/>
      <c r="C804" s="9"/>
    </row>
    <row r="805" ht="15.75" customHeight="1">
      <c r="B805" s="9"/>
      <c r="C805" s="9"/>
    </row>
    <row r="806" ht="15.75" customHeight="1">
      <c r="B806" s="9"/>
      <c r="C806" s="9"/>
    </row>
    <row r="807" ht="15.75" customHeight="1">
      <c r="B807" s="9"/>
      <c r="C807" s="9"/>
    </row>
    <row r="808" ht="15.75" customHeight="1">
      <c r="B808" s="9"/>
      <c r="C808" s="9"/>
    </row>
    <row r="809" ht="15.75" customHeight="1">
      <c r="B809" s="9"/>
      <c r="C809" s="9"/>
    </row>
    <row r="810" ht="15.75" customHeight="1">
      <c r="B810" s="9"/>
      <c r="C810" s="9"/>
    </row>
    <row r="811" ht="15.75" customHeight="1">
      <c r="B811" s="9"/>
      <c r="C811" s="9"/>
    </row>
    <row r="812" ht="15.75" customHeight="1">
      <c r="B812" s="9"/>
      <c r="C812" s="9"/>
    </row>
    <row r="813" ht="15.75" customHeight="1">
      <c r="B813" s="9"/>
      <c r="C813" s="9"/>
    </row>
    <row r="814" ht="15.75" customHeight="1">
      <c r="B814" s="9"/>
      <c r="C814" s="9"/>
    </row>
    <row r="815" ht="15.75" customHeight="1">
      <c r="B815" s="9"/>
      <c r="C815" s="9"/>
    </row>
    <row r="816" ht="15.75" customHeight="1">
      <c r="B816" s="9"/>
      <c r="C816" s="9"/>
    </row>
    <row r="817" ht="15.75" customHeight="1">
      <c r="B817" s="9"/>
      <c r="C817" s="9"/>
    </row>
    <row r="818" ht="15.75" customHeight="1">
      <c r="B818" s="9"/>
      <c r="C818" s="9"/>
    </row>
    <row r="819" ht="15.75" customHeight="1">
      <c r="B819" s="9"/>
      <c r="C819" s="9"/>
    </row>
    <row r="820" ht="15.75" customHeight="1">
      <c r="B820" s="9"/>
      <c r="C820" s="9"/>
    </row>
    <row r="821" ht="15.75" customHeight="1">
      <c r="B821" s="9"/>
      <c r="C821" s="9"/>
    </row>
    <row r="822" ht="15.75" customHeight="1">
      <c r="B822" s="9"/>
      <c r="C822" s="9"/>
    </row>
    <row r="823" ht="15.75" customHeight="1">
      <c r="B823" s="9"/>
      <c r="C823" s="9"/>
    </row>
    <row r="824" ht="15.75" customHeight="1">
      <c r="B824" s="9"/>
      <c r="C824" s="9"/>
    </row>
    <row r="825" ht="15.75" customHeight="1">
      <c r="B825" s="9"/>
      <c r="C825" s="9"/>
    </row>
    <row r="826" ht="15.75" customHeight="1">
      <c r="B826" s="9"/>
      <c r="C826" s="9"/>
    </row>
    <row r="827" ht="15.75" customHeight="1">
      <c r="B827" s="9"/>
      <c r="C827" s="9"/>
    </row>
    <row r="828" ht="15.75" customHeight="1">
      <c r="B828" s="9"/>
      <c r="C828" s="9"/>
    </row>
    <row r="829" ht="15.75" customHeight="1">
      <c r="B829" s="9"/>
      <c r="C829" s="9"/>
    </row>
    <row r="830" ht="15.75" customHeight="1">
      <c r="B830" s="9"/>
      <c r="C830" s="9"/>
    </row>
    <row r="831" ht="15.75" customHeight="1">
      <c r="B831" s="9"/>
      <c r="C831" s="9"/>
    </row>
    <row r="832" ht="15.75" customHeight="1">
      <c r="B832" s="9"/>
      <c r="C832" s="9"/>
    </row>
    <row r="833" ht="15.75" customHeight="1">
      <c r="B833" s="9"/>
      <c r="C833" s="9"/>
    </row>
    <row r="834" ht="15.75" customHeight="1">
      <c r="B834" s="9"/>
      <c r="C834" s="9"/>
    </row>
    <row r="835" ht="15.75" customHeight="1">
      <c r="B835" s="9"/>
      <c r="C835" s="9"/>
    </row>
    <row r="836" ht="15.75" customHeight="1">
      <c r="B836" s="9"/>
      <c r="C836" s="9"/>
    </row>
    <row r="837" ht="15.75" customHeight="1">
      <c r="B837" s="9"/>
      <c r="C837" s="9"/>
    </row>
    <row r="838" ht="15.75" customHeight="1">
      <c r="B838" s="9"/>
      <c r="C838" s="9"/>
    </row>
    <row r="839" ht="15.75" customHeight="1">
      <c r="B839" s="9"/>
      <c r="C839" s="9"/>
    </row>
    <row r="840" ht="15.75" customHeight="1">
      <c r="B840" s="9"/>
      <c r="C840" s="9"/>
    </row>
    <row r="841" ht="15.75" customHeight="1">
      <c r="B841" s="9"/>
      <c r="C841" s="9"/>
    </row>
    <row r="842" ht="15.75" customHeight="1">
      <c r="B842" s="9"/>
      <c r="C842" s="9"/>
    </row>
    <row r="843" ht="15.75" customHeight="1">
      <c r="B843" s="9"/>
      <c r="C843" s="9"/>
    </row>
    <row r="844" ht="15.75" customHeight="1">
      <c r="B844" s="9"/>
      <c r="C844" s="9"/>
    </row>
    <row r="845" ht="15.75" customHeight="1">
      <c r="B845" s="9"/>
      <c r="C845" s="9"/>
    </row>
    <row r="846" ht="15.75" customHeight="1">
      <c r="B846" s="9"/>
      <c r="C846" s="9"/>
    </row>
    <row r="847" ht="15.75" customHeight="1">
      <c r="B847" s="9"/>
      <c r="C847" s="9"/>
    </row>
    <row r="848" ht="15.75" customHeight="1">
      <c r="B848" s="9"/>
      <c r="C848" s="9"/>
    </row>
    <row r="849" ht="15.75" customHeight="1">
      <c r="B849" s="9"/>
      <c r="C849" s="9"/>
    </row>
    <row r="850" ht="15.75" customHeight="1">
      <c r="B850" s="9"/>
      <c r="C850" s="9"/>
    </row>
    <row r="851" ht="15.75" customHeight="1">
      <c r="B851" s="9"/>
      <c r="C851" s="9"/>
    </row>
    <row r="852" ht="15.75" customHeight="1">
      <c r="B852" s="9"/>
      <c r="C852" s="9"/>
    </row>
    <row r="853" ht="15.75" customHeight="1">
      <c r="B853" s="9"/>
      <c r="C853" s="9"/>
    </row>
    <row r="854" ht="15.75" customHeight="1">
      <c r="B854" s="9"/>
      <c r="C854" s="9"/>
    </row>
    <row r="855" ht="15.75" customHeight="1">
      <c r="B855" s="9"/>
      <c r="C855" s="9"/>
    </row>
    <row r="856" ht="15.75" customHeight="1">
      <c r="B856" s="9"/>
      <c r="C856" s="9"/>
    </row>
    <row r="857" ht="15.75" customHeight="1">
      <c r="B857" s="9"/>
      <c r="C857" s="9"/>
    </row>
    <row r="858" ht="15.75" customHeight="1">
      <c r="B858" s="9"/>
      <c r="C858" s="9"/>
    </row>
    <row r="859" ht="15.75" customHeight="1">
      <c r="B859" s="9"/>
      <c r="C859" s="9"/>
    </row>
    <row r="860" ht="15.75" customHeight="1">
      <c r="B860" s="9"/>
      <c r="C860" s="9"/>
    </row>
    <row r="861" ht="15.75" customHeight="1">
      <c r="B861" s="9"/>
      <c r="C861" s="9"/>
    </row>
    <row r="862" ht="15.75" customHeight="1">
      <c r="B862" s="9"/>
      <c r="C862" s="9"/>
    </row>
    <row r="863" ht="15.75" customHeight="1">
      <c r="B863" s="9"/>
      <c r="C863" s="9"/>
    </row>
    <row r="864" ht="15.75" customHeight="1">
      <c r="B864" s="9"/>
      <c r="C864" s="9"/>
    </row>
    <row r="865" ht="15.75" customHeight="1">
      <c r="B865" s="9"/>
      <c r="C865" s="9"/>
    </row>
    <row r="866" ht="15.75" customHeight="1">
      <c r="B866" s="9"/>
      <c r="C866" s="9"/>
    </row>
    <row r="867" ht="15.75" customHeight="1">
      <c r="B867" s="9"/>
      <c r="C867" s="9"/>
    </row>
    <row r="868" ht="15.75" customHeight="1">
      <c r="B868" s="9"/>
      <c r="C868" s="9"/>
    </row>
    <row r="869" ht="15.75" customHeight="1">
      <c r="B869" s="9"/>
      <c r="C869" s="9"/>
    </row>
    <row r="870" ht="15.75" customHeight="1">
      <c r="B870" s="9"/>
      <c r="C870" s="9"/>
    </row>
    <row r="871" ht="15.75" customHeight="1">
      <c r="B871" s="9"/>
      <c r="C871" s="9"/>
    </row>
    <row r="872" ht="15.75" customHeight="1">
      <c r="B872" s="9"/>
      <c r="C872" s="9"/>
    </row>
    <row r="873" ht="15.75" customHeight="1">
      <c r="B873" s="9"/>
      <c r="C873" s="9"/>
    </row>
    <row r="874" ht="15.75" customHeight="1">
      <c r="B874" s="9"/>
      <c r="C874" s="9"/>
    </row>
    <row r="875" ht="15.75" customHeight="1">
      <c r="B875" s="9"/>
      <c r="C875" s="9"/>
    </row>
    <row r="876" ht="15.75" customHeight="1">
      <c r="B876" s="9"/>
      <c r="C876" s="9"/>
    </row>
    <row r="877" ht="15.75" customHeight="1">
      <c r="B877" s="9"/>
      <c r="C877" s="9"/>
    </row>
    <row r="878" ht="15.75" customHeight="1">
      <c r="B878" s="9"/>
      <c r="C878" s="9"/>
    </row>
    <row r="879" ht="15.75" customHeight="1">
      <c r="B879" s="9"/>
      <c r="C879" s="9"/>
    </row>
    <row r="880" ht="15.75" customHeight="1">
      <c r="B880" s="9"/>
      <c r="C880" s="9"/>
    </row>
    <row r="881" ht="15.75" customHeight="1">
      <c r="B881" s="9"/>
      <c r="C881" s="9"/>
    </row>
    <row r="882" ht="15.75" customHeight="1">
      <c r="B882" s="9"/>
      <c r="C882" s="9"/>
    </row>
    <row r="883" ht="15.75" customHeight="1">
      <c r="B883" s="9"/>
      <c r="C883" s="9"/>
    </row>
    <row r="884" ht="15.75" customHeight="1">
      <c r="B884" s="9"/>
      <c r="C884" s="9"/>
    </row>
    <row r="885" ht="15.75" customHeight="1">
      <c r="B885" s="9"/>
      <c r="C885" s="9"/>
    </row>
    <row r="886" ht="15.75" customHeight="1">
      <c r="B886" s="9"/>
      <c r="C886" s="9"/>
    </row>
    <row r="887" ht="15.75" customHeight="1">
      <c r="B887" s="9"/>
      <c r="C887" s="9"/>
    </row>
    <row r="888" ht="15.75" customHeight="1">
      <c r="B888" s="9"/>
      <c r="C888" s="9"/>
    </row>
    <row r="889" ht="15.75" customHeight="1">
      <c r="B889" s="9"/>
      <c r="C889" s="9"/>
    </row>
    <row r="890" ht="15.75" customHeight="1">
      <c r="B890" s="9"/>
      <c r="C890" s="9"/>
    </row>
    <row r="891" ht="15.75" customHeight="1">
      <c r="B891" s="9"/>
      <c r="C891" s="9"/>
    </row>
    <row r="892" ht="15.75" customHeight="1">
      <c r="B892" s="9"/>
      <c r="C892" s="9"/>
    </row>
    <row r="893" ht="15.75" customHeight="1">
      <c r="B893" s="9"/>
      <c r="C893" s="9"/>
    </row>
    <row r="894" ht="15.75" customHeight="1">
      <c r="B894" s="9"/>
      <c r="C894" s="9"/>
    </row>
    <row r="895" ht="15.75" customHeight="1">
      <c r="B895" s="9"/>
      <c r="C895" s="9"/>
    </row>
    <row r="896" ht="15.75" customHeight="1">
      <c r="B896" s="9"/>
      <c r="C896" s="9"/>
    </row>
    <row r="897" ht="15.75" customHeight="1">
      <c r="B897" s="9"/>
      <c r="C897" s="9"/>
    </row>
    <row r="898" ht="15.75" customHeight="1">
      <c r="B898" s="9"/>
      <c r="C898" s="9"/>
    </row>
    <row r="899" ht="15.75" customHeight="1">
      <c r="B899" s="9"/>
      <c r="C899" s="9"/>
    </row>
    <row r="900" ht="15.75" customHeight="1">
      <c r="B900" s="9"/>
      <c r="C900" s="9"/>
    </row>
    <row r="901" ht="15.75" customHeight="1">
      <c r="B901" s="9"/>
      <c r="C901" s="9"/>
    </row>
    <row r="902" ht="15.75" customHeight="1">
      <c r="B902" s="9"/>
      <c r="C902" s="9"/>
    </row>
    <row r="903" ht="15.75" customHeight="1">
      <c r="B903" s="9"/>
      <c r="C903" s="9"/>
    </row>
    <row r="904" ht="15.75" customHeight="1">
      <c r="B904" s="9"/>
      <c r="C904" s="9"/>
    </row>
    <row r="905" ht="15.75" customHeight="1">
      <c r="B905" s="9"/>
      <c r="C905" s="9"/>
    </row>
    <row r="906" ht="15.75" customHeight="1">
      <c r="B906" s="9"/>
      <c r="C906" s="9"/>
    </row>
    <row r="907" ht="15.75" customHeight="1">
      <c r="B907" s="9"/>
      <c r="C907" s="9"/>
    </row>
    <row r="908" ht="15.75" customHeight="1">
      <c r="B908" s="9"/>
      <c r="C908" s="9"/>
    </row>
    <row r="909" ht="15.75" customHeight="1">
      <c r="B909" s="9"/>
      <c r="C909" s="9"/>
    </row>
    <row r="910" ht="15.75" customHeight="1">
      <c r="B910" s="9"/>
      <c r="C910" s="9"/>
    </row>
    <row r="911" ht="15.75" customHeight="1">
      <c r="B911" s="9"/>
      <c r="C911" s="9"/>
    </row>
    <row r="912" ht="15.75" customHeight="1">
      <c r="B912" s="9"/>
      <c r="C912" s="9"/>
    </row>
    <row r="913" ht="15.75" customHeight="1">
      <c r="B913" s="9"/>
      <c r="C913" s="9"/>
    </row>
    <row r="914" ht="15.75" customHeight="1">
      <c r="B914" s="9"/>
      <c r="C914" s="9"/>
    </row>
    <row r="915" ht="15.75" customHeight="1">
      <c r="B915" s="9"/>
      <c r="C915" s="9"/>
    </row>
    <row r="916" ht="15.75" customHeight="1">
      <c r="B916" s="9"/>
      <c r="C916" s="9"/>
    </row>
    <row r="917" ht="15.75" customHeight="1">
      <c r="B917" s="9"/>
      <c r="C917" s="9"/>
    </row>
    <row r="918" ht="15.75" customHeight="1">
      <c r="B918" s="9"/>
      <c r="C918" s="9"/>
    </row>
    <row r="919" ht="15.75" customHeight="1">
      <c r="B919" s="9"/>
      <c r="C919" s="9"/>
    </row>
    <row r="920" ht="15.75" customHeight="1">
      <c r="B920" s="9"/>
      <c r="C920" s="9"/>
    </row>
    <row r="921" ht="15.75" customHeight="1">
      <c r="B921" s="9"/>
      <c r="C921" s="9"/>
    </row>
    <row r="922" ht="15.75" customHeight="1">
      <c r="B922" s="9"/>
      <c r="C922" s="9"/>
    </row>
    <row r="923" ht="15.75" customHeight="1">
      <c r="B923" s="9"/>
      <c r="C923" s="9"/>
    </row>
    <row r="924" ht="15.75" customHeight="1">
      <c r="B924" s="9"/>
      <c r="C924" s="9"/>
    </row>
    <row r="925" ht="15.75" customHeight="1">
      <c r="B925" s="9"/>
      <c r="C925" s="9"/>
    </row>
    <row r="926" ht="15.75" customHeight="1">
      <c r="B926" s="9"/>
      <c r="C926" s="9"/>
    </row>
    <row r="927" ht="15.75" customHeight="1">
      <c r="B927" s="9"/>
      <c r="C927" s="9"/>
    </row>
    <row r="928" ht="15.75" customHeight="1">
      <c r="B928" s="9"/>
      <c r="C928" s="9"/>
    </row>
    <row r="929" ht="15.75" customHeight="1">
      <c r="B929" s="9"/>
      <c r="C929" s="9"/>
    </row>
    <row r="930" ht="15.75" customHeight="1">
      <c r="B930" s="9"/>
      <c r="C930" s="9"/>
    </row>
    <row r="931" ht="15.75" customHeight="1">
      <c r="B931" s="9"/>
      <c r="C931" s="9"/>
    </row>
    <row r="932" ht="15.75" customHeight="1">
      <c r="B932" s="9"/>
      <c r="C932" s="9"/>
    </row>
    <row r="933" ht="15.75" customHeight="1">
      <c r="B933" s="9"/>
      <c r="C933" s="9"/>
    </row>
    <row r="934" ht="15.75" customHeight="1">
      <c r="B934" s="9"/>
      <c r="C934" s="9"/>
    </row>
    <row r="935" ht="15.75" customHeight="1">
      <c r="B935" s="9"/>
      <c r="C935" s="9"/>
    </row>
    <row r="936" ht="15.75" customHeight="1">
      <c r="B936" s="9"/>
      <c r="C936" s="9"/>
    </row>
    <row r="937" ht="15.75" customHeight="1">
      <c r="B937" s="9"/>
      <c r="C937" s="9"/>
    </row>
    <row r="938" ht="15.75" customHeight="1">
      <c r="B938" s="9"/>
      <c r="C938" s="9"/>
    </row>
    <row r="939" ht="15.75" customHeight="1">
      <c r="B939" s="9"/>
      <c r="C939" s="9"/>
    </row>
    <row r="940" ht="15.75" customHeight="1">
      <c r="B940" s="9"/>
      <c r="C940" s="9"/>
    </row>
    <row r="941" ht="15.75" customHeight="1">
      <c r="B941" s="9"/>
      <c r="C941" s="9"/>
    </row>
    <row r="942" ht="15.75" customHeight="1">
      <c r="B942" s="9"/>
      <c r="C942" s="9"/>
    </row>
    <row r="943" ht="15.75" customHeight="1">
      <c r="B943" s="9"/>
      <c r="C943" s="9"/>
    </row>
    <row r="944" ht="15.75" customHeight="1">
      <c r="B944" s="9"/>
      <c r="C944" s="9"/>
    </row>
    <row r="945" ht="15.75" customHeight="1">
      <c r="B945" s="9"/>
      <c r="C945" s="9"/>
    </row>
    <row r="946" ht="15.75" customHeight="1">
      <c r="B946" s="9"/>
      <c r="C946" s="9"/>
    </row>
    <row r="947" ht="15.75" customHeight="1">
      <c r="B947" s="9"/>
      <c r="C947" s="9"/>
    </row>
    <row r="948" ht="15.75" customHeight="1">
      <c r="B948" s="9"/>
      <c r="C948" s="9"/>
    </row>
    <row r="949" ht="15.75" customHeight="1">
      <c r="B949" s="9"/>
      <c r="C949" s="9"/>
    </row>
    <row r="950" ht="15.75" customHeight="1">
      <c r="B950" s="9"/>
      <c r="C950" s="9"/>
    </row>
    <row r="951" ht="15.75" customHeight="1">
      <c r="B951" s="9"/>
      <c r="C951" s="9"/>
    </row>
    <row r="952" ht="15.75" customHeight="1">
      <c r="B952" s="9"/>
      <c r="C952" s="9"/>
    </row>
    <row r="953" ht="15.75" customHeight="1">
      <c r="B953" s="9"/>
      <c r="C953" s="9"/>
    </row>
    <row r="954" ht="15.75" customHeight="1">
      <c r="B954" s="9"/>
      <c r="C954" s="9"/>
    </row>
    <row r="955" ht="15.75" customHeight="1">
      <c r="B955" s="9"/>
      <c r="C955" s="9"/>
    </row>
    <row r="956" ht="15.75" customHeight="1">
      <c r="B956" s="9"/>
      <c r="C956" s="9"/>
    </row>
    <row r="957" ht="15.75" customHeight="1">
      <c r="B957" s="9"/>
      <c r="C957" s="9"/>
    </row>
    <row r="958" ht="15.75" customHeight="1">
      <c r="B958" s="9"/>
      <c r="C958" s="9"/>
    </row>
    <row r="959" ht="15.75" customHeight="1">
      <c r="B959" s="9"/>
      <c r="C959" s="9"/>
    </row>
    <row r="960" ht="15.75" customHeight="1">
      <c r="B960" s="9"/>
      <c r="C960" s="9"/>
    </row>
    <row r="961" ht="15.75" customHeight="1">
      <c r="B961" s="9"/>
      <c r="C961" s="9"/>
    </row>
    <row r="962" ht="15.75" customHeight="1">
      <c r="B962" s="9"/>
      <c r="C962" s="9"/>
    </row>
    <row r="963" ht="15.75" customHeight="1">
      <c r="B963" s="9"/>
      <c r="C963" s="9"/>
    </row>
    <row r="964" ht="15.75" customHeight="1">
      <c r="B964" s="9"/>
      <c r="C964" s="9"/>
    </row>
    <row r="965" ht="15.75" customHeight="1">
      <c r="B965" s="9"/>
      <c r="C965" s="9"/>
    </row>
    <row r="966" ht="15.75" customHeight="1">
      <c r="B966" s="9"/>
      <c r="C966" s="9"/>
    </row>
    <row r="967" ht="15.75" customHeight="1">
      <c r="B967" s="9"/>
      <c r="C967" s="9"/>
    </row>
    <row r="968" ht="15.75" customHeight="1">
      <c r="B968" s="9"/>
      <c r="C968" s="9"/>
    </row>
    <row r="969" ht="15.75" customHeight="1">
      <c r="B969" s="9"/>
      <c r="C969" s="9"/>
    </row>
    <row r="970" ht="15.75" customHeight="1">
      <c r="B970" s="9"/>
      <c r="C970" s="9"/>
    </row>
    <row r="971" ht="15.75" customHeight="1">
      <c r="B971" s="9"/>
      <c r="C971" s="9"/>
    </row>
    <row r="972" ht="15.75" customHeight="1">
      <c r="B972" s="9"/>
      <c r="C972" s="9"/>
    </row>
    <row r="973" ht="15.75" customHeight="1">
      <c r="B973" s="9"/>
      <c r="C973" s="9"/>
    </row>
    <row r="974" ht="15.75" customHeight="1">
      <c r="B974" s="9"/>
      <c r="C974" s="9"/>
    </row>
    <row r="975" ht="15.75" customHeight="1">
      <c r="B975" s="9"/>
      <c r="C975" s="9"/>
    </row>
    <row r="976" ht="15.75" customHeight="1">
      <c r="B976" s="9"/>
      <c r="C976" s="9"/>
    </row>
    <row r="977" ht="15.75" customHeight="1">
      <c r="B977" s="9"/>
      <c r="C977" s="9"/>
    </row>
    <row r="978" ht="15.75" customHeight="1">
      <c r="B978" s="9"/>
      <c r="C978" s="9"/>
    </row>
    <row r="979" ht="15.75" customHeight="1">
      <c r="B979" s="9"/>
      <c r="C979" s="9"/>
    </row>
    <row r="980" ht="15.75" customHeight="1">
      <c r="B980" s="9"/>
      <c r="C980" s="9"/>
    </row>
    <row r="981" ht="15.75" customHeight="1">
      <c r="B981" s="9"/>
      <c r="C981" s="9"/>
    </row>
    <row r="982" ht="15.75" customHeight="1">
      <c r="B982" s="9"/>
      <c r="C982" s="9"/>
    </row>
    <row r="983" ht="15.75" customHeight="1">
      <c r="B983" s="9"/>
      <c r="C983" s="9"/>
    </row>
    <row r="984" ht="15.75" customHeight="1">
      <c r="B984" s="9"/>
      <c r="C984" s="9"/>
    </row>
    <row r="985" ht="15.75" customHeight="1">
      <c r="B985" s="9"/>
      <c r="C985" s="9"/>
    </row>
    <row r="986" ht="15.75" customHeight="1">
      <c r="B986" s="9"/>
      <c r="C986" s="9"/>
    </row>
    <row r="987" ht="15.75" customHeight="1">
      <c r="B987" s="9"/>
      <c r="C987" s="9"/>
    </row>
    <row r="988" ht="15.75" customHeight="1">
      <c r="B988" s="9"/>
      <c r="C988" s="9"/>
    </row>
    <row r="989" ht="15.75" customHeight="1">
      <c r="B989" s="9"/>
      <c r="C989" s="9"/>
    </row>
    <row r="990" ht="15.75" customHeight="1">
      <c r="B990" s="9"/>
      <c r="C990" s="9"/>
    </row>
    <row r="991" ht="15.75" customHeight="1">
      <c r="B991" s="9"/>
      <c r="C991" s="9"/>
    </row>
    <row r="992" ht="15.75" customHeight="1">
      <c r="B992" s="9"/>
      <c r="C992" s="9"/>
    </row>
    <row r="993" ht="15.75" customHeight="1">
      <c r="B993" s="9"/>
      <c r="C993" s="9"/>
    </row>
    <row r="994" ht="15.75" customHeight="1">
      <c r="B994" s="9"/>
      <c r="C994" s="9"/>
    </row>
    <row r="995" ht="15.75" customHeight="1">
      <c r="B995" s="9"/>
      <c r="C995" s="9"/>
    </row>
    <row r="996" ht="15.75" customHeight="1">
      <c r="B996" s="9"/>
      <c r="C996" s="9"/>
    </row>
    <row r="997" ht="15.75" customHeight="1">
      <c r="B997" s="9"/>
      <c r="C997" s="9"/>
    </row>
    <row r="998" ht="15.75" customHeight="1">
      <c r="B998" s="9"/>
      <c r="C998" s="9"/>
    </row>
    <row r="999" ht="15.75" customHeight="1">
      <c r="B999" s="9"/>
      <c r="C999" s="9"/>
    </row>
    <row r="1000" ht="15.75" customHeight="1">
      <c r="B1000" s="9"/>
      <c r="C1000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47.88"/>
    <col customWidth="1" min="3" max="3" width="30.75"/>
    <col customWidth="1" min="4" max="4" width="80.88"/>
    <col customWidth="1" min="5" max="5" width="8.63"/>
    <col customWidth="1" min="6" max="6" width="27.63"/>
    <col customWidth="1" min="7" max="7" width="34.88"/>
    <col customWidth="1" min="8" max="8" width="23.88"/>
    <col customWidth="1" min="9" max="9" width="20.63"/>
    <col customWidth="1" min="10" max="10" width="17.75"/>
    <col customWidth="1" min="11" max="12" width="10.0"/>
    <col customWidth="1" min="13" max="13" width="9.25"/>
    <col customWidth="1" min="14" max="26" width="8.63"/>
  </cols>
  <sheetData>
    <row r="1">
      <c r="A1" s="10" t="s">
        <v>178</v>
      </c>
      <c r="B1" s="11" t="s">
        <v>5</v>
      </c>
    </row>
    <row r="2">
      <c r="A2" s="12">
        <v>2.41E8</v>
      </c>
      <c r="B2" s="13">
        <v>2025.0</v>
      </c>
    </row>
    <row r="3">
      <c r="A3" s="14">
        <v>2.37E8</v>
      </c>
      <c r="B3" s="15">
        <v>2024.0</v>
      </c>
      <c r="D3" s="9"/>
      <c r="E3" s="9"/>
      <c r="J3" s="9"/>
    </row>
    <row r="4">
      <c r="A4" s="12">
        <v>2.33E8</v>
      </c>
      <c r="B4" s="13">
        <v>2023.0</v>
      </c>
      <c r="D4" s="9"/>
      <c r="E4" s="9"/>
      <c r="F4" s="16"/>
      <c r="G4" s="16"/>
      <c r="H4" s="16"/>
      <c r="I4" s="16"/>
      <c r="J4" s="9"/>
    </row>
    <row r="5">
      <c r="A5" s="14">
        <v>2.3E8</v>
      </c>
      <c r="B5" s="15">
        <v>2022.0</v>
      </c>
      <c r="D5" s="9"/>
      <c r="E5" s="9"/>
      <c r="F5" s="16"/>
      <c r="G5" s="16"/>
      <c r="H5" s="16"/>
      <c r="I5" s="16"/>
      <c r="J5" s="9"/>
    </row>
    <row r="6">
      <c r="A6" s="12">
        <v>2.1E8</v>
      </c>
      <c r="B6" s="13">
        <v>2021.0</v>
      </c>
      <c r="D6" s="9"/>
      <c r="E6" s="9"/>
      <c r="F6" s="16"/>
      <c r="G6" s="16"/>
      <c r="H6" s="16"/>
      <c r="I6" s="16"/>
      <c r="J6" s="9"/>
    </row>
    <row r="7">
      <c r="A7" s="14">
        <v>2.08E8</v>
      </c>
      <c r="B7" s="15">
        <v>2020.0</v>
      </c>
      <c r="D7" s="9"/>
      <c r="E7" s="9"/>
      <c r="F7" s="16"/>
      <c r="G7" s="16"/>
      <c r="H7" s="16"/>
      <c r="I7" s="16"/>
      <c r="J7" s="9"/>
    </row>
    <row r="8">
      <c r="A8" s="12">
        <v>2.06E8</v>
      </c>
      <c r="B8" s="13">
        <v>2019.0</v>
      </c>
      <c r="D8" s="9"/>
      <c r="E8" s="9"/>
      <c r="F8" s="16"/>
      <c r="G8" s="16"/>
      <c r="H8" s="16"/>
      <c r="I8" s="16"/>
      <c r="J8" s="9"/>
    </row>
    <row r="9">
      <c r="A9" s="14">
        <v>1.97E8</v>
      </c>
      <c r="B9" s="15">
        <v>2018.0</v>
      </c>
      <c r="D9" s="9"/>
      <c r="E9" s="9"/>
      <c r="F9" s="16"/>
      <c r="G9" s="16"/>
      <c r="H9" s="16"/>
      <c r="I9" s="16"/>
      <c r="J9" s="9"/>
    </row>
    <row r="10">
      <c r="A10" s="12">
        <v>1.95E8</v>
      </c>
      <c r="B10" s="13">
        <v>2017.0</v>
      </c>
      <c r="D10" s="9"/>
      <c r="E10" s="9"/>
      <c r="F10" s="16"/>
      <c r="G10" s="16"/>
      <c r="H10" s="16"/>
      <c r="I10" s="16"/>
      <c r="J10" s="9"/>
    </row>
    <row r="11">
      <c r="A11" s="14">
        <v>1.89E8</v>
      </c>
      <c r="B11" s="15">
        <v>2016.0</v>
      </c>
      <c r="D11" s="9"/>
      <c r="E11" s="9"/>
      <c r="F11" s="16"/>
      <c r="G11" s="16"/>
      <c r="H11" s="16"/>
      <c r="I11" s="16"/>
      <c r="J11" s="9"/>
    </row>
    <row r="12">
      <c r="A12" s="12">
        <v>1.89E8</v>
      </c>
      <c r="B12" s="13">
        <v>2015.0</v>
      </c>
      <c r="D12" s="9"/>
      <c r="E12" s="9"/>
      <c r="F12" s="16"/>
      <c r="G12" s="16"/>
      <c r="H12" s="16"/>
      <c r="I12" s="16"/>
      <c r="J12" s="9"/>
    </row>
    <row r="13">
      <c r="A13" s="14">
        <v>1.89E8</v>
      </c>
      <c r="B13" s="15">
        <v>2014.0</v>
      </c>
      <c r="D13" s="9"/>
      <c r="E13" s="9"/>
      <c r="F13" s="16"/>
      <c r="G13" s="16"/>
      <c r="H13" s="16"/>
      <c r="I13" s="16"/>
      <c r="J13" s="9"/>
    </row>
    <row r="14">
      <c r="A14" s="12">
        <v>1.78E8</v>
      </c>
      <c r="B14" s="13">
        <v>2013.0</v>
      </c>
      <c r="D14" s="9"/>
      <c r="E14" s="9"/>
      <c r="F14" s="16"/>
      <c r="G14" s="16"/>
      <c r="H14" s="16"/>
      <c r="I14" s="16"/>
      <c r="J14" s="9"/>
    </row>
    <row r="15">
      <c r="A15" s="14">
        <v>1.78E8</v>
      </c>
      <c r="B15" s="15">
        <v>2012.0</v>
      </c>
      <c r="D15" s="9"/>
      <c r="E15" s="9"/>
      <c r="F15" s="16"/>
      <c r="G15" s="16"/>
      <c r="H15" s="16"/>
      <c r="I15" s="16"/>
      <c r="J15" s="9"/>
    </row>
    <row r="16">
      <c r="D16" s="9"/>
      <c r="E16" s="9"/>
      <c r="F16" s="16"/>
      <c r="G16" s="16"/>
      <c r="H16" s="16"/>
      <c r="I16" s="16"/>
      <c r="J16" s="9"/>
    </row>
    <row r="17">
      <c r="C17" s="9"/>
      <c r="D17" s="9"/>
      <c r="E17" s="9"/>
      <c r="F17" s="16"/>
      <c r="G17" s="16"/>
      <c r="H17" s="16"/>
      <c r="I17" s="16"/>
      <c r="J17" s="9"/>
    </row>
    <row r="18">
      <c r="C18" s="9"/>
      <c r="D18" s="9"/>
      <c r="E18" s="9"/>
      <c r="F18" s="16"/>
      <c r="G18" s="16"/>
      <c r="H18" s="16"/>
      <c r="I18" s="16"/>
      <c r="J18" s="9"/>
    </row>
    <row r="19">
      <c r="C19" s="9"/>
      <c r="D19" s="9"/>
      <c r="E19" s="9"/>
      <c r="F19" s="16"/>
      <c r="G19" s="16"/>
      <c r="H19" s="16"/>
      <c r="I19" s="16"/>
      <c r="J19" s="9"/>
    </row>
    <row r="20">
      <c r="C20" s="9"/>
      <c r="D20" s="9"/>
      <c r="E20" s="9"/>
      <c r="F20" s="16"/>
      <c r="G20" s="16"/>
      <c r="H20" s="16"/>
      <c r="I20" s="16"/>
      <c r="J20" s="9"/>
    </row>
    <row r="21" ht="15.75" customHeight="1">
      <c r="C21" s="9"/>
      <c r="D21" s="9"/>
      <c r="E21" s="9"/>
      <c r="F21" s="16"/>
      <c r="G21" s="16"/>
      <c r="H21" s="16"/>
      <c r="I21" s="16"/>
      <c r="J21" s="9"/>
    </row>
    <row r="22" ht="15.75" customHeight="1">
      <c r="C22" s="9"/>
      <c r="D22" s="9"/>
      <c r="E22" s="9"/>
      <c r="F22" s="16"/>
      <c r="G22" s="16"/>
      <c r="H22" s="16"/>
      <c r="I22" s="16"/>
      <c r="J22" s="9"/>
    </row>
    <row r="23" ht="15.75" customHeight="1">
      <c r="C23" s="9"/>
      <c r="D23" s="9"/>
      <c r="E23" s="9"/>
      <c r="F23" s="16"/>
      <c r="G23" s="16"/>
      <c r="H23" s="16"/>
      <c r="I23" s="16"/>
      <c r="J23" s="9"/>
    </row>
    <row r="24" ht="15.75" customHeight="1">
      <c r="C24" s="9"/>
      <c r="D24" s="9"/>
      <c r="E24" s="9"/>
      <c r="F24" s="16"/>
      <c r="G24" s="16"/>
      <c r="H24" s="16"/>
      <c r="I24" s="16"/>
      <c r="J24" s="9"/>
    </row>
    <row r="25" ht="15.75" customHeight="1">
      <c r="C25" s="9"/>
      <c r="D25" s="9"/>
      <c r="E25" s="9"/>
      <c r="F25" s="16"/>
      <c r="G25" s="16"/>
      <c r="H25" s="16"/>
      <c r="I25" s="16"/>
      <c r="J25" s="9"/>
    </row>
    <row r="26" ht="15.75" customHeight="1">
      <c r="C26" s="9"/>
      <c r="D26" s="9"/>
      <c r="E26" s="9"/>
      <c r="F26" s="16"/>
      <c r="G26" s="16"/>
      <c r="H26" s="16"/>
      <c r="I26" s="16"/>
      <c r="J26" s="9"/>
    </row>
    <row r="27" ht="15.75" customHeight="1">
      <c r="C27" s="9"/>
      <c r="D27" s="9"/>
      <c r="E27" s="9"/>
      <c r="F27" s="16"/>
      <c r="G27" s="16"/>
      <c r="H27" s="16"/>
      <c r="I27" s="16"/>
      <c r="J27" s="9"/>
    </row>
    <row r="28" ht="15.75" customHeight="1">
      <c r="C28" s="9"/>
      <c r="D28" s="9"/>
      <c r="E28" s="9"/>
      <c r="F28" s="16"/>
      <c r="G28" s="16"/>
      <c r="H28" s="16"/>
      <c r="I28" s="16"/>
      <c r="J28" s="9"/>
    </row>
    <row r="29" ht="15.75" customHeight="1">
      <c r="C29" s="9"/>
      <c r="D29" s="9"/>
      <c r="E29" s="9"/>
      <c r="F29" s="16"/>
      <c r="G29" s="16"/>
      <c r="H29" s="16"/>
      <c r="I29" s="16"/>
      <c r="J29" s="9"/>
    </row>
    <row r="30" ht="15.75" customHeight="1">
      <c r="C30" s="9"/>
      <c r="D30" s="9"/>
      <c r="E30" s="9"/>
      <c r="F30" s="16"/>
      <c r="G30" s="16"/>
      <c r="H30" s="16"/>
      <c r="I30" s="16"/>
      <c r="J30" s="9"/>
    </row>
    <row r="31" ht="15.75" customHeight="1">
      <c r="C31" s="9"/>
      <c r="D31" s="9"/>
      <c r="E31" s="9"/>
      <c r="F31" s="16"/>
      <c r="G31" s="16"/>
      <c r="H31" s="16"/>
      <c r="I31" s="16"/>
      <c r="J31" s="9"/>
    </row>
    <row r="32" ht="15.75" customHeight="1">
      <c r="C32" s="9"/>
      <c r="D32" s="9"/>
      <c r="E32" s="9"/>
      <c r="F32" s="16"/>
      <c r="G32" s="16"/>
      <c r="H32" s="16"/>
      <c r="I32" s="16"/>
      <c r="J32" s="9"/>
    </row>
    <row r="33" ht="15.75" customHeight="1">
      <c r="C33" s="9"/>
      <c r="D33" s="9"/>
      <c r="E33" s="9"/>
      <c r="F33" s="16"/>
      <c r="G33" s="16"/>
      <c r="H33" s="16"/>
      <c r="I33" s="16"/>
      <c r="J33" s="9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>
      <c r="G39" s="16"/>
      <c r="H39" s="16"/>
      <c r="I39" s="16"/>
    </row>
    <row r="40" ht="15.75" customHeight="1">
      <c r="G40" s="16"/>
      <c r="H40" s="16"/>
      <c r="I40" s="16"/>
    </row>
    <row r="41" ht="15.75" customHeight="1">
      <c r="G41" s="16"/>
      <c r="H41" s="16"/>
      <c r="I41" s="16"/>
    </row>
    <row r="42" ht="15.75" customHeight="1">
      <c r="G42" s="16"/>
      <c r="H42" s="16"/>
      <c r="I42" s="16"/>
    </row>
    <row r="43" ht="15.75" customHeight="1">
      <c r="G43" s="16"/>
      <c r="H43" s="16"/>
      <c r="I43" s="16"/>
    </row>
    <row r="44" ht="15.75" customHeight="1">
      <c r="G44" s="16"/>
      <c r="H44" s="16"/>
      <c r="I44" s="16"/>
    </row>
    <row r="45" ht="15.75" customHeight="1">
      <c r="G45" s="16"/>
      <c r="H45" s="16"/>
      <c r="I45" s="16"/>
    </row>
    <row r="46" ht="15.75" customHeight="1">
      <c r="G46" s="16"/>
      <c r="H46" s="16"/>
      <c r="I46" s="16"/>
    </row>
    <row r="47" ht="15.75" customHeight="1">
      <c r="G47" s="16"/>
      <c r="H47" s="16"/>
      <c r="I47" s="16"/>
    </row>
    <row r="48" ht="15.75" customHeight="1">
      <c r="G48" s="16"/>
      <c r="H48" s="16"/>
      <c r="I48" s="16"/>
    </row>
    <row r="49" ht="15.75" customHeight="1">
      <c r="G49" s="16"/>
      <c r="H49" s="16"/>
      <c r="I49" s="16"/>
    </row>
    <row r="50" ht="15.75" customHeight="1">
      <c r="G50" s="16"/>
      <c r="H50" s="16"/>
      <c r="I50" s="16"/>
    </row>
    <row r="51" ht="15.75" customHeight="1">
      <c r="G51" s="16"/>
      <c r="H51" s="16"/>
      <c r="I51" s="16"/>
    </row>
    <row r="52" ht="15.75" customHeight="1">
      <c r="G52" s="16"/>
      <c r="H52" s="16"/>
      <c r="I52" s="16"/>
    </row>
    <row r="53" ht="15.75" customHeight="1">
      <c r="G53" s="16"/>
      <c r="H53" s="16"/>
      <c r="I53" s="16"/>
    </row>
    <row r="54" ht="15.75" customHeight="1">
      <c r="G54" s="16"/>
      <c r="H54" s="16"/>
      <c r="I54" s="16"/>
    </row>
    <row r="55" ht="15.75" customHeight="1">
      <c r="G55" s="16"/>
      <c r="H55" s="16"/>
      <c r="I55" s="16"/>
    </row>
    <row r="56" ht="15.75" customHeight="1">
      <c r="G56" s="16"/>
      <c r="H56" s="16"/>
      <c r="I56" s="16"/>
    </row>
    <row r="57" ht="15.75" customHeight="1">
      <c r="G57" s="16"/>
      <c r="H57" s="16"/>
      <c r="I57" s="16"/>
    </row>
    <row r="58" ht="15.75" customHeight="1">
      <c r="G58" s="16"/>
      <c r="H58" s="16"/>
      <c r="I58" s="16"/>
    </row>
    <row r="59" ht="15.75" customHeight="1">
      <c r="G59" s="16"/>
      <c r="H59" s="16"/>
      <c r="I59" s="16"/>
    </row>
    <row r="60" ht="15.75" customHeight="1">
      <c r="G60" s="16"/>
      <c r="H60" s="16"/>
      <c r="I60" s="16"/>
    </row>
    <row r="61" ht="15.75" customHeight="1">
      <c r="G61" s="16"/>
      <c r="H61" s="16"/>
      <c r="I61" s="16"/>
    </row>
    <row r="62" ht="15.75" customHeight="1">
      <c r="G62" s="16"/>
      <c r="H62" s="16"/>
      <c r="I62" s="16"/>
    </row>
    <row r="63" ht="15.75" customHeight="1">
      <c r="G63" s="16"/>
      <c r="H63" s="16"/>
      <c r="I63" s="16"/>
    </row>
    <row r="64" ht="15.75" customHeight="1">
      <c r="G64" s="16"/>
      <c r="H64" s="16"/>
      <c r="I64" s="16"/>
    </row>
    <row r="65" ht="15.75" customHeight="1">
      <c r="G65" s="16"/>
      <c r="H65" s="16"/>
      <c r="I65" s="16"/>
    </row>
    <row r="66" ht="15.75" customHeight="1">
      <c r="G66" s="16"/>
      <c r="H66" s="16"/>
      <c r="I66" s="16"/>
    </row>
    <row r="67" ht="15.75" customHeight="1">
      <c r="G67" s="16"/>
      <c r="H67" s="16"/>
      <c r="I67" s="16"/>
    </row>
    <row r="68" ht="15.75" customHeight="1">
      <c r="G68" s="16"/>
      <c r="H68" s="16"/>
      <c r="I68" s="16"/>
    </row>
    <row r="69" ht="15.75" customHeight="1"/>
    <row r="70" ht="15.75" customHeight="1"/>
    <row r="71" ht="15.75" customHeight="1"/>
    <row r="72" ht="15.75" customHeight="1"/>
    <row r="73" ht="15.75" customHeight="1">
      <c r="G73" s="16"/>
      <c r="H73" s="16"/>
      <c r="I73" s="16"/>
    </row>
    <row r="74" ht="15.75" customHeight="1">
      <c r="G74" s="16"/>
      <c r="H74" s="16"/>
      <c r="I74" s="16"/>
    </row>
    <row r="75" ht="15.75" customHeight="1">
      <c r="G75" s="16"/>
      <c r="H75" s="16"/>
      <c r="I75" s="16"/>
    </row>
    <row r="76" ht="15.75" customHeight="1">
      <c r="G76" s="16"/>
      <c r="H76" s="16"/>
      <c r="I76" s="16"/>
    </row>
    <row r="77" ht="15.75" customHeight="1">
      <c r="G77" s="16"/>
      <c r="H77" s="16"/>
      <c r="I77" s="16"/>
    </row>
    <row r="78" ht="15.75" customHeight="1">
      <c r="G78" s="16"/>
      <c r="H78" s="16"/>
      <c r="I78" s="16"/>
    </row>
    <row r="79" ht="15.75" customHeight="1">
      <c r="G79" s="16"/>
      <c r="H79" s="16"/>
      <c r="I79" s="16"/>
    </row>
    <row r="80" ht="15.75" customHeight="1">
      <c r="G80" s="16"/>
      <c r="H80" s="16"/>
      <c r="I80" s="16"/>
    </row>
    <row r="81" ht="15.75" customHeight="1">
      <c r="G81" s="16"/>
      <c r="H81" s="16"/>
      <c r="I81" s="16"/>
    </row>
    <row r="82" ht="15.75" customHeight="1">
      <c r="G82" s="16"/>
      <c r="H82" s="16"/>
      <c r="I82" s="16"/>
    </row>
    <row r="83" ht="15.75" customHeight="1">
      <c r="G83" s="16"/>
      <c r="H83" s="16"/>
      <c r="I83" s="16"/>
    </row>
    <row r="84" ht="15.75" customHeight="1">
      <c r="G84" s="16"/>
      <c r="H84" s="16"/>
      <c r="I84" s="16"/>
    </row>
    <row r="85" ht="15.75" customHeight="1">
      <c r="G85" s="16"/>
      <c r="H85" s="16"/>
      <c r="I85" s="16"/>
    </row>
    <row r="86" ht="15.75" customHeight="1">
      <c r="G86" s="16"/>
      <c r="H86" s="16"/>
      <c r="I86" s="16"/>
    </row>
    <row r="87" ht="15.75" customHeight="1">
      <c r="G87" s="16"/>
      <c r="H87" s="16"/>
      <c r="I87" s="16"/>
    </row>
    <row r="88" ht="15.75" customHeight="1">
      <c r="G88" s="16"/>
      <c r="H88" s="16"/>
      <c r="I88" s="16"/>
    </row>
    <row r="89" ht="15.75" customHeight="1">
      <c r="G89" s="16"/>
      <c r="H89" s="16"/>
      <c r="I89" s="16"/>
    </row>
    <row r="90" ht="15.75" customHeight="1">
      <c r="G90" s="16"/>
      <c r="H90" s="16"/>
      <c r="I90" s="16"/>
    </row>
    <row r="91" ht="15.75" customHeight="1">
      <c r="G91" s="16"/>
      <c r="H91" s="16"/>
      <c r="I91" s="16"/>
    </row>
    <row r="92" ht="15.75" customHeight="1">
      <c r="G92" s="16"/>
      <c r="H92" s="16"/>
      <c r="I92" s="16"/>
    </row>
    <row r="93" ht="15.75" customHeight="1">
      <c r="G93" s="16"/>
      <c r="H93" s="16"/>
      <c r="I93" s="16"/>
    </row>
    <row r="94" ht="15.75" customHeight="1">
      <c r="G94" s="16"/>
      <c r="H94" s="16"/>
      <c r="I94" s="16"/>
    </row>
    <row r="95" ht="15.75" customHeight="1">
      <c r="G95" s="16"/>
      <c r="H95" s="16"/>
      <c r="I95" s="16"/>
    </row>
    <row r="96" ht="15.75" customHeight="1">
      <c r="G96" s="16"/>
      <c r="H96" s="16"/>
      <c r="I96" s="16"/>
    </row>
    <row r="97" ht="15.75" customHeight="1">
      <c r="G97" s="16"/>
      <c r="H97" s="16"/>
      <c r="I97" s="16"/>
    </row>
    <row r="98" ht="15.75" customHeight="1">
      <c r="G98" s="16"/>
      <c r="H98" s="16"/>
      <c r="I98" s="16"/>
    </row>
    <row r="99" ht="15.75" customHeight="1">
      <c r="G99" s="16"/>
      <c r="H99" s="16"/>
      <c r="I99" s="16"/>
    </row>
    <row r="100" ht="15.75" customHeight="1">
      <c r="G100" s="16"/>
      <c r="H100" s="16"/>
      <c r="I100" s="16"/>
    </row>
    <row r="101" ht="15.75" customHeight="1">
      <c r="G101" s="16"/>
      <c r="H101" s="16"/>
      <c r="I101" s="16"/>
    </row>
    <row r="102" ht="15.75" customHeight="1">
      <c r="G102" s="16"/>
      <c r="H102" s="16"/>
      <c r="I102" s="16"/>
    </row>
    <row r="103" ht="15.75" customHeight="1"/>
    <row r="104" ht="15.75" customHeight="1"/>
    <row r="105" ht="15.75" customHeight="1"/>
    <row r="106" ht="15.75" customHeight="1"/>
    <row r="107" ht="15.75" customHeight="1">
      <c r="G107" s="16"/>
      <c r="H107" s="16"/>
      <c r="I107" s="16"/>
    </row>
    <row r="108" ht="15.75" customHeight="1">
      <c r="G108" s="16"/>
      <c r="H108" s="16"/>
      <c r="I108" s="16"/>
    </row>
    <row r="109" ht="15.75" customHeight="1">
      <c r="G109" s="16"/>
      <c r="H109" s="16"/>
      <c r="I109" s="16"/>
    </row>
    <row r="110" ht="15.75" customHeight="1">
      <c r="G110" s="16"/>
      <c r="H110" s="16"/>
      <c r="I110" s="16"/>
    </row>
    <row r="111" ht="15.75" customHeight="1">
      <c r="G111" s="16"/>
      <c r="H111" s="16"/>
      <c r="I111" s="16"/>
    </row>
    <row r="112" ht="15.75" customHeight="1">
      <c r="G112" s="16"/>
      <c r="H112" s="16"/>
      <c r="I112" s="16"/>
    </row>
    <row r="113" ht="15.75" customHeight="1">
      <c r="G113" s="16"/>
      <c r="H113" s="16"/>
      <c r="I113" s="16"/>
    </row>
    <row r="114" ht="15.75" customHeight="1">
      <c r="G114" s="16"/>
      <c r="H114" s="16"/>
      <c r="I114" s="16"/>
    </row>
    <row r="115" ht="15.75" customHeight="1">
      <c r="G115" s="16"/>
      <c r="H115" s="16"/>
      <c r="I115" s="16"/>
    </row>
    <row r="116" ht="15.75" customHeight="1">
      <c r="G116" s="16"/>
      <c r="H116" s="16"/>
      <c r="I116" s="16"/>
    </row>
    <row r="117" ht="15.75" customHeight="1">
      <c r="G117" s="16"/>
      <c r="H117" s="16"/>
      <c r="I117" s="16"/>
    </row>
    <row r="118" ht="15.75" customHeight="1">
      <c r="G118" s="16"/>
      <c r="H118" s="16"/>
      <c r="I118" s="16"/>
    </row>
    <row r="119" ht="15.75" customHeight="1">
      <c r="G119" s="16"/>
      <c r="H119" s="16"/>
      <c r="I119" s="16"/>
    </row>
    <row r="120" ht="15.75" customHeight="1">
      <c r="G120" s="16"/>
      <c r="H120" s="16"/>
      <c r="I120" s="16"/>
    </row>
    <row r="121" ht="15.75" customHeight="1">
      <c r="G121" s="16"/>
      <c r="H121" s="16"/>
      <c r="I121" s="16"/>
    </row>
    <row r="122" ht="15.75" customHeight="1">
      <c r="G122" s="16"/>
      <c r="H122" s="16"/>
      <c r="I122" s="16"/>
    </row>
    <row r="123" ht="15.75" customHeight="1">
      <c r="G123" s="16"/>
      <c r="H123" s="16"/>
      <c r="I123" s="16"/>
    </row>
    <row r="124" ht="15.75" customHeight="1">
      <c r="G124" s="16"/>
      <c r="H124" s="16"/>
      <c r="I124" s="16"/>
    </row>
    <row r="125" ht="15.75" customHeight="1">
      <c r="G125" s="16"/>
      <c r="H125" s="16"/>
      <c r="I125" s="16"/>
    </row>
    <row r="126" ht="15.75" customHeight="1">
      <c r="G126" s="16"/>
      <c r="H126" s="16"/>
      <c r="I126" s="16"/>
    </row>
    <row r="127" ht="15.75" customHeight="1">
      <c r="G127" s="16"/>
      <c r="H127" s="16"/>
      <c r="I127" s="16"/>
    </row>
    <row r="128" ht="15.75" customHeight="1">
      <c r="G128" s="16"/>
      <c r="H128" s="16"/>
      <c r="I128" s="16"/>
    </row>
    <row r="129" ht="15.75" customHeight="1">
      <c r="G129" s="16"/>
      <c r="H129" s="16"/>
      <c r="I129" s="16"/>
    </row>
    <row r="130" ht="15.75" customHeight="1">
      <c r="G130" s="16"/>
      <c r="H130" s="16"/>
      <c r="I130" s="16"/>
    </row>
    <row r="131" ht="15.75" customHeight="1">
      <c r="G131" s="16"/>
      <c r="H131" s="16"/>
      <c r="I131" s="16"/>
    </row>
    <row r="132" ht="15.75" customHeight="1">
      <c r="G132" s="16"/>
      <c r="H132" s="16"/>
      <c r="I132" s="16"/>
    </row>
    <row r="133" ht="15.75" customHeight="1">
      <c r="G133" s="16"/>
      <c r="H133" s="16"/>
      <c r="I133" s="16"/>
    </row>
    <row r="134" ht="15.75" customHeight="1">
      <c r="G134" s="16"/>
      <c r="H134" s="16"/>
      <c r="I134" s="16"/>
    </row>
    <row r="135" ht="15.75" customHeight="1">
      <c r="G135" s="16"/>
      <c r="H135" s="16"/>
      <c r="I135" s="16"/>
    </row>
    <row r="136" ht="15.75" customHeight="1">
      <c r="G136" s="16"/>
      <c r="H136" s="16"/>
      <c r="I136" s="16"/>
    </row>
    <row r="137" ht="15.75" customHeight="1"/>
    <row r="138" ht="15.75" customHeight="1"/>
    <row r="139" ht="15.75" customHeight="1">
      <c r="C139" s="9"/>
      <c r="D139" s="9"/>
      <c r="E139" s="9"/>
    </row>
    <row r="140" ht="15.75" customHeight="1">
      <c r="C140" s="9"/>
      <c r="D140" s="9"/>
      <c r="E140" s="9"/>
    </row>
    <row r="141" ht="15.75" customHeight="1">
      <c r="C141" s="9"/>
      <c r="D141" s="9"/>
      <c r="E141" s="9"/>
      <c r="G141" s="16"/>
      <c r="H141" s="16"/>
      <c r="I141" s="16"/>
    </row>
    <row r="142" ht="15.75" customHeight="1">
      <c r="C142" s="9"/>
      <c r="D142" s="9"/>
      <c r="E142" s="9"/>
      <c r="G142" s="16"/>
      <c r="H142" s="16"/>
      <c r="I142" s="16"/>
    </row>
    <row r="143" ht="15.75" customHeight="1">
      <c r="C143" s="9"/>
      <c r="D143" s="9"/>
      <c r="E143" s="9"/>
      <c r="G143" s="16"/>
      <c r="H143" s="16"/>
      <c r="I143" s="16"/>
    </row>
    <row r="144" ht="15.75" customHeight="1">
      <c r="C144" s="9"/>
      <c r="D144" s="9"/>
      <c r="E144" s="9"/>
      <c r="G144" s="16"/>
      <c r="H144" s="16"/>
      <c r="I144" s="16"/>
    </row>
    <row r="145" ht="15.75" customHeight="1">
      <c r="C145" s="9"/>
      <c r="D145" s="9"/>
      <c r="E145" s="9"/>
      <c r="G145" s="16"/>
      <c r="H145" s="16"/>
      <c r="I145" s="16"/>
    </row>
    <row r="146" ht="15.75" customHeight="1">
      <c r="C146" s="9"/>
      <c r="D146" s="9"/>
      <c r="E146" s="9"/>
      <c r="G146" s="16"/>
      <c r="H146" s="16"/>
      <c r="I146" s="16"/>
    </row>
    <row r="147" ht="15.75" customHeight="1">
      <c r="C147" s="9"/>
      <c r="D147" s="9"/>
      <c r="E147" s="9"/>
      <c r="G147" s="16"/>
      <c r="H147" s="16"/>
      <c r="I147" s="16"/>
    </row>
    <row r="148" ht="15.75" customHeight="1">
      <c r="C148" s="9"/>
      <c r="D148" s="9"/>
      <c r="E148" s="9"/>
      <c r="G148" s="16"/>
      <c r="H148" s="16"/>
      <c r="I148" s="16"/>
    </row>
    <row r="149" ht="15.75" customHeight="1">
      <c r="C149" s="9"/>
      <c r="D149" s="9"/>
      <c r="E149" s="9"/>
      <c r="G149" s="16"/>
      <c r="H149" s="16"/>
      <c r="I149" s="16"/>
    </row>
    <row r="150" ht="15.75" customHeight="1">
      <c r="C150" s="9"/>
      <c r="D150" s="9"/>
      <c r="E150" s="9"/>
      <c r="G150" s="16"/>
      <c r="H150" s="16"/>
      <c r="I150" s="16"/>
    </row>
    <row r="151" ht="15.75" customHeight="1">
      <c r="C151" s="9"/>
      <c r="D151" s="9"/>
      <c r="E151" s="9"/>
      <c r="G151" s="16"/>
      <c r="H151" s="16"/>
      <c r="I151" s="16"/>
    </row>
    <row r="152" ht="15.75" customHeight="1">
      <c r="C152" s="9"/>
      <c r="D152" s="9"/>
      <c r="E152" s="9"/>
      <c r="G152" s="16"/>
      <c r="H152" s="16"/>
      <c r="I152" s="16"/>
    </row>
    <row r="153" ht="15.75" customHeight="1">
      <c r="C153" s="9"/>
      <c r="D153" s="9"/>
      <c r="E153" s="9"/>
      <c r="G153" s="16"/>
      <c r="H153" s="16"/>
      <c r="I153" s="16"/>
    </row>
    <row r="154" ht="15.75" customHeight="1">
      <c r="C154" s="9"/>
      <c r="D154" s="9"/>
      <c r="E154" s="9"/>
      <c r="G154" s="16"/>
      <c r="H154" s="16"/>
      <c r="I154" s="16"/>
    </row>
    <row r="155" ht="15.75" customHeight="1">
      <c r="C155" s="9"/>
      <c r="D155" s="9"/>
      <c r="E155" s="9"/>
      <c r="G155" s="16"/>
      <c r="H155" s="16"/>
      <c r="I155" s="16"/>
    </row>
    <row r="156" ht="15.75" customHeight="1">
      <c r="C156" s="9"/>
      <c r="D156" s="9"/>
      <c r="E156" s="9"/>
      <c r="G156" s="16"/>
      <c r="H156" s="16"/>
      <c r="I156" s="16"/>
    </row>
    <row r="157" ht="15.75" customHeight="1">
      <c r="C157" s="9"/>
      <c r="D157" s="9"/>
      <c r="E157" s="9"/>
      <c r="G157" s="16"/>
      <c r="H157" s="16"/>
      <c r="I157" s="16"/>
    </row>
    <row r="158" ht="15.75" customHeight="1">
      <c r="C158" s="9"/>
      <c r="D158" s="9"/>
      <c r="E158" s="9"/>
      <c r="G158" s="16"/>
      <c r="H158" s="16"/>
      <c r="I158" s="16"/>
    </row>
    <row r="159" ht="15.75" customHeight="1">
      <c r="C159" s="9"/>
      <c r="D159" s="9"/>
      <c r="E159" s="9"/>
      <c r="G159" s="16"/>
      <c r="H159" s="16"/>
      <c r="I159" s="16"/>
    </row>
    <row r="160" ht="15.75" customHeight="1">
      <c r="C160" s="9"/>
      <c r="D160" s="9"/>
      <c r="E160" s="9"/>
      <c r="G160" s="16"/>
      <c r="H160" s="16"/>
      <c r="I160" s="16"/>
    </row>
    <row r="161" ht="15.75" customHeight="1">
      <c r="C161" s="9"/>
      <c r="D161" s="9"/>
      <c r="E161" s="9"/>
      <c r="G161" s="16"/>
      <c r="H161" s="16"/>
      <c r="I161" s="16"/>
    </row>
    <row r="162" ht="15.75" customHeight="1">
      <c r="C162" s="9"/>
      <c r="D162" s="9"/>
      <c r="E162" s="9"/>
      <c r="G162" s="16"/>
      <c r="H162" s="16"/>
      <c r="I162" s="16"/>
    </row>
    <row r="163" ht="15.75" customHeight="1">
      <c r="C163" s="9"/>
      <c r="D163" s="9"/>
      <c r="E163" s="9"/>
      <c r="G163" s="16"/>
      <c r="H163" s="16"/>
      <c r="I163" s="16"/>
    </row>
    <row r="164" ht="15.75" customHeight="1">
      <c r="C164" s="9"/>
      <c r="D164" s="9"/>
      <c r="E164" s="9"/>
      <c r="G164" s="16"/>
      <c r="H164" s="16"/>
      <c r="I164" s="16"/>
    </row>
    <row r="165" ht="15.75" customHeight="1">
      <c r="C165" s="9"/>
      <c r="D165" s="9"/>
      <c r="E165" s="9"/>
      <c r="G165" s="16"/>
      <c r="H165" s="16"/>
      <c r="I165" s="16"/>
    </row>
    <row r="166" ht="15.75" customHeight="1">
      <c r="C166" s="9"/>
      <c r="D166" s="9"/>
      <c r="E166" s="9"/>
      <c r="G166" s="16"/>
      <c r="H166" s="16"/>
      <c r="I166" s="16"/>
    </row>
    <row r="167" ht="15.75" customHeight="1">
      <c r="C167" s="9"/>
      <c r="D167" s="9"/>
      <c r="E167" s="9"/>
      <c r="G167" s="16"/>
      <c r="H167" s="16"/>
      <c r="I167" s="16"/>
    </row>
    <row r="168" ht="15.75" customHeight="1">
      <c r="C168" s="9"/>
      <c r="D168" s="9"/>
      <c r="E168" s="9"/>
      <c r="G168" s="16"/>
      <c r="H168" s="16"/>
      <c r="I168" s="16"/>
    </row>
    <row r="169" ht="15.75" customHeight="1">
      <c r="C169" s="9"/>
      <c r="D169" s="9"/>
      <c r="E169" s="9"/>
      <c r="G169" s="16"/>
      <c r="H169" s="16"/>
      <c r="I169" s="16"/>
    </row>
    <row r="170" ht="15.75" customHeight="1">
      <c r="C170" s="9"/>
      <c r="D170" s="9"/>
      <c r="E170" s="9"/>
      <c r="G170" s="16"/>
      <c r="H170" s="16"/>
      <c r="I170" s="16"/>
    </row>
    <row r="171" ht="15.75" customHeight="1"/>
    <row r="172" ht="15.75" customHeight="1">
      <c r="C172" s="9"/>
      <c r="D172" s="9"/>
      <c r="E172" s="9"/>
    </row>
    <row r="173" ht="15.75" customHeight="1">
      <c r="C173" s="9"/>
      <c r="D173" s="9"/>
      <c r="E173" s="9"/>
    </row>
    <row r="174" ht="15.75" customHeight="1">
      <c r="C174" s="9"/>
      <c r="D174" s="9"/>
      <c r="E174" s="9"/>
    </row>
    <row r="175" ht="15.75" customHeight="1">
      <c r="C175" s="9"/>
      <c r="D175" s="9"/>
      <c r="E175" s="9"/>
    </row>
    <row r="176" ht="15.75" customHeight="1">
      <c r="C176" s="9"/>
      <c r="D176" s="9"/>
      <c r="E176" s="9"/>
    </row>
    <row r="177" ht="15.75" customHeight="1">
      <c r="C177" s="9"/>
      <c r="D177" s="9"/>
      <c r="E177" s="9"/>
    </row>
    <row r="178" ht="15.75" customHeight="1">
      <c r="C178" s="9"/>
      <c r="D178" s="9"/>
      <c r="E178" s="9"/>
    </row>
    <row r="179" ht="15.75" customHeight="1">
      <c r="C179" s="9"/>
      <c r="D179" s="9"/>
      <c r="E179" s="9"/>
    </row>
    <row r="180" ht="15.75" customHeight="1">
      <c r="C180" s="9"/>
      <c r="D180" s="9"/>
      <c r="E180" s="9"/>
    </row>
    <row r="181" ht="15.75" customHeight="1">
      <c r="C181" s="9"/>
      <c r="D181" s="9"/>
      <c r="E181" s="9"/>
    </row>
    <row r="182" ht="15.75" customHeight="1">
      <c r="C182" s="9"/>
      <c r="D182" s="9"/>
      <c r="E182" s="9"/>
    </row>
    <row r="183" ht="15.75" customHeight="1">
      <c r="C183" s="9"/>
      <c r="D183" s="9"/>
      <c r="E183" s="9"/>
    </row>
    <row r="184" ht="15.75" customHeight="1">
      <c r="C184" s="9"/>
      <c r="D184" s="9"/>
      <c r="E184" s="9"/>
    </row>
    <row r="185" ht="15.75" customHeight="1">
      <c r="C185" s="9"/>
      <c r="D185" s="9"/>
      <c r="E185" s="9"/>
    </row>
    <row r="186" ht="15.75" customHeight="1">
      <c r="C186" s="9"/>
      <c r="D186" s="9"/>
      <c r="E186" s="9"/>
    </row>
    <row r="187" ht="15.75" customHeight="1">
      <c r="C187" s="9"/>
      <c r="D187" s="9"/>
      <c r="E187" s="9"/>
    </row>
    <row r="188" ht="15.75" customHeight="1">
      <c r="C188" s="9"/>
      <c r="D188" s="9"/>
      <c r="E188" s="9"/>
    </row>
    <row r="189" ht="15.75" customHeight="1">
      <c r="C189" s="9"/>
      <c r="D189" s="9"/>
      <c r="E189" s="9"/>
    </row>
    <row r="190" ht="15.75" customHeight="1">
      <c r="C190" s="9"/>
      <c r="D190" s="9"/>
      <c r="E190" s="9"/>
    </row>
    <row r="191" ht="15.75" customHeight="1">
      <c r="C191" s="9"/>
      <c r="D191" s="9"/>
      <c r="E191" s="9"/>
    </row>
    <row r="192" ht="15.75" customHeight="1">
      <c r="C192" s="9"/>
      <c r="D192" s="9"/>
      <c r="E192" s="9"/>
    </row>
    <row r="193" ht="15.75" customHeight="1">
      <c r="C193" s="9"/>
      <c r="D193" s="9"/>
      <c r="E193" s="9"/>
    </row>
    <row r="194" ht="15.75" customHeight="1">
      <c r="C194" s="9"/>
      <c r="D194" s="9"/>
      <c r="E194" s="9"/>
    </row>
    <row r="195" ht="15.75" customHeight="1">
      <c r="C195" s="9"/>
      <c r="D195" s="9"/>
      <c r="E195" s="9"/>
    </row>
    <row r="196" ht="15.75" customHeight="1">
      <c r="C196" s="9"/>
      <c r="D196" s="9"/>
      <c r="E196" s="9"/>
    </row>
    <row r="197" ht="15.75" customHeight="1">
      <c r="C197" s="9"/>
      <c r="D197" s="9"/>
      <c r="E197" s="9"/>
    </row>
    <row r="198" ht="15.75" customHeight="1">
      <c r="C198" s="9"/>
      <c r="D198" s="9"/>
      <c r="E198" s="9"/>
    </row>
    <row r="199" ht="15.75" customHeight="1">
      <c r="C199" s="9"/>
      <c r="D199" s="9"/>
      <c r="E199" s="9"/>
    </row>
    <row r="200" ht="15.75" customHeight="1">
      <c r="C200" s="9"/>
      <c r="D200" s="9"/>
      <c r="E200" s="9"/>
    </row>
    <row r="201" ht="15.75" customHeight="1">
      <c r="C201" s="9"/>
      <c r="D201" s="9"/>
      <c r="E201" s="9"/>
    </row>
    <row r="202" ht="15.75" customHeight="1">
      <c r="C202" s="9"/>
      <c r="D202" s="9"/>
      <c r="E202" s="9"/>
    </row>
    <row r="203" ht="15.75" customHeight="1">
      <c r="C203" s="9"/>
      <c r="D203" s="9"/>
      <c r="E203" s="9"/>
    </row>
    <row r="204" ht="15.75" customHeight="1"/>
    <row r="205" ht="15.75" customHeight="1">
      <c r="C205" s="9"/>
      <c r="D205" s="9"/>
      <c r="E205" s="9"/>
    </row>
    <row r="206" ht="15.75" customHeight="1">
      <c r="C206" s="9"/>
      <c r="D206" s="9"/>
      <c r="E206" s="9"/>
    </row>
    <row r="207" ht="15.75" customHeight="1">
      <c r="C207" s="9"/>
      <c r="D207" s="9"/>
      <c r="E207" s="9"/>
    </row>
    <row r="208" ht="15.75" customHeight="1">
      <c r="C208" s="9"/>
      <c r="D208" s="9"/>
      <c r="E208" s="9"/>
    </row>
    <row r="209" ht="15.75" customHeight="1">
      <c r="C209" s="9"/>
      <c r="D209" s="9"/>
      <c r="E209" s="9"/>
    </row>
    <row r="210" ht="15.75" customHeight="1">
      <c r="C210" s="9"/>
      <c r="D210" s="9"/>
      <c r="E210" s="9"/>
    </row>
    <row r="211" ht="15.75" customHeight="1">
      <c r="C211" s="9"/>
      <c r="D211" s="9"/>
      <c r="E211" s="9"/>
    </row>
    <row r="212" ht="15.75" customHeight="1">
      <c r="C212" s="9"/>
      <c r="D212" s="9"/>
      <c r="E212" s="9"/>
    </row>
    <row r="213" ht="15.75" customHeight="1">
      <c r="C213" s="9"/>
      <c r="D213" s="9"/>
      <c r="E213" s="9"/>
    </row>
    <row r="214" ht="15.75" customHeight="1">
      <c r="C214" s="9"/>
      <c r="D214" s="9"/>
      <c r="E214" s="9"/>
    </row>
    <row r="215" ht="15.75" customHeight="1">
      <c r="C215" s="9"/>
      <c r="D215" s="9"/>
      <c r="E215" s="9"/>
    </row>
    <row r="216" ht="15.75" customHeight="1">
      <c r="C216" s="9"/>
      <c r="D216" s="9"/>
      <c r="E216" s="9"/>
    </row>
    <row r="217" ht="15.75" customHeight="1">
      <c r="C217" s="9"/>
      <c r="D217" s="9"/>
      <c r="E217" s="9"/>
    </row>
    <row r="218" ht="15.75" customHeight="1">
      <c r="C218" s="9"/>
      <c r="D218" s="9"/>
      <c r="E218" s="9"/>
    </row>
    <row r="219" ht="15.75" customHeight="1">
      <c r="C219" s="9"/>
      <c r="D219" s="9"/>
      <c r="E219" s="9"/>
    </row>
    <row r="220" ht="15.75" customHeight="1">
      <c r="C220" s="9"/>
      <c r="D220" s="9"/>
      <c r="E220" s="9"/>
    </row>
    <row r="221" ht="15.75" customHeight="1">
      <c r="C221" s="9"/>
      <c r="D221" s="9"/>
      <c r="E221" s="9"/>
    </row>
    <row r="222" ht="15.75" customHeight="1">
      <c r="C222" s="9"/>
      <c r="D222" s="9"/>
      <c r="E222" s="9"/>
    </row>
    <row r="223" ht="15.75" customHeight="1">
      <c r="C223" s="9"/>
      <c r="D223" s="9"/>
      <c r="E223" s="9"/>
    </row>
    <row r="224" ht="15.75" customHeight="1">
      <c r="C224" s="9"/>
      <c r="D224" s="9"/>
      <c r="E224" s="9"/>
    </row>
    <row r="225" ht="15.75" customHeight="1">
      <c r="C225" s="9"/>
      <c r="D225" s="9"/>
      <c r="E225" s="9"/>
    </row>
    <row r="226" ht="15.75" customHeight="1">
      <c r="C226" s="9"/>
      <c r="D226" s="9"/>
      <c r="E226" s="9"/>
    </row>
    <row r="227" ht="15.75" customHeight="1">
      <c r="C227" s="9"/>
      <c r="D227" s="9"/>
      <c r="E227" s="9"/>
    </row>
    <row r="228" ht="15.75" customHeight="1">
      <c r="C228" s="9"/>
      <c r="D228" s="9"/>
      <c r="E228" s="9"/>
    </row>
    <row r="229" ht="15.75" customHeight="1">
      <c r="C229" s="9"/>
      <c r="D229" s="9"/>
      <c r="E229" s="9"/>
    </row>
    <row r="230" ht="15.75" customHeight="1">
      <c r="C230" s="9"/>
      <c r="D230" s="9"/>
      <c r="E230" s="9"/>
    </row>
    <row r="231" ht="15.75" customHeight="1">
      <c r="C231" s="9"/>
      <c r="D231" s="9"/>
      <c r="E231" s="9"/>
    </row>
    <row r="232" ht="15.75" customHeight="1">
      <c r="C232" s="9"/>
      <c r="D232" s="9"/>
      <c r="E232" s="9"/>
    </row>
    <row r="233" ht="15.75" customHeight="1">
      <c r="C233" s="9"/>
      <c r="D233" s="9"/>
      <c r="E233" s="9"/>
    </row>
    <row r="234" ht="15.75" customHeight="1">
      <c r="C234" s="9"/>
      <c r="D234" s="9"/>
      <c r="E234" s="9"/>
    </row>
    <row r="235" ht="15.75" customHeight="1">
      <c r="C235" s="9"/>
      <c r="D235" s="9"/>
      <c r="E235" s="9"/>
    </row>
    <row r="236" ht="15.75" customHeight="1">
      <c r="C236" s="9"/>
      <c r="D236" s="9"/>
      <c r="E236" s="9"/>
    </row>
    <row r="237" ht="15.75" customHeight="1"/>
    <row r="238" ht="15.75" customHeight="1"/>
    <row r="239" ht="15.75" customHeight="1"/>
    <row r="240" ht="15.75" customHeight="1">
      <c r="G240" s="16"/>
      <c r="H240" s="16"/>
      <c r="I240" s="16"/>
    </row>
    <row r="241" ht="15.75" customHeight="1">
      <c r="G241" s="16"/>
      <c r="H241" s="16"/>
      <c r="I241" s="16"/>
    </row>
    <row r="242" ht="15.75" customHeight="1">
      <c r="G242" s="16"/>
      <c r="H242" s="16"/>
      <c r="I242" s="16"/>
    </row>
    <row r="243" ht="15.75" customHeight="1">
      <c r="G243" s="16"/>
      <c r="H243" s="16"/>
      <c r="I243" s="16"/>
    </row>
    <row r="244" ht="15.75" customHeight="1">
      <c r="G244" s="16"/>
      <c r="H244" s="16"/>
      <c r="I244" s="16"/>
    </row>
    <row r="245" ht="15.75" customHeight="1">
      <c r="G245" s="16"/>
      <c r="H245" s="16"/>
      <c r="I245" s="16"/>
    </row>
    <row r="246" ht="15.75" customHeight="1">
      <c r="G246" s="16"/>
      <c r="H246" s="16"/>
      <c r="I246" s="16"/>
    </row>
    <row r="247" ht="15.75" customHeight="1">
      <c r="G247" s="16"/>
      <c r="H247" s="16"/>
      <c r="I247" s="16"/>
    </row>
    <row r="248" ht="15.75" customHeight="1">
      <c r="G248" s="16"/>
      <c r="H248" s="16"/>
      <c r="I248" s="16"/>
    </row>
    <row r="249" ht="15.75" customHeight="1">
      <c r="G249" s="16"/>
      <c r="H249" s="16"/>
      <c r="I249" s="16"/>
    </row>
    <row r="250" ht="15.75" customHeight="1">
      <c r="G250" s="16"/>
      <c r="H250" s="16"/>
      <c r="I250" s="16"/>
    </row>
    <row r="251" ht="15.75" customHeight="1">
      <c r="G251" s="16"/>
      <c r="H251" s="16"/>
      <c r="I251" s="16"/>
    </row>
    <row r="252" ht="15.75" customHeight="1">
      <c r="G252" s="16"/>
      <c r="H252" s="16"/>
      <c r="I252" s="16"/>
    </row>
    <row r="253" ht="15.75" customHeight="1">
      <c r="G253" s="16"/>
      <c r="H253" s="16"/>
      <c r="I253" s="16"/>
    </row>
    <row r="254" ht="15.75" customHeight="1">
      <c r="G254" s="16"/>
      <c r="H254" s="16"/>
      <c r="I254" s="16"/>
    </row>
    <row r="255" ht="15.75" customHeight="1">
      <c r="G255" s="16"/>
      <c r="H255" s="16"/>
      <c r="I255" s="16"/>
    </row>
    <row r="256" ht="15.75" customHeight="1">
      <c r="G256" s="16"/>
      <c r="H256" s="16"/>
      <c r="I256" s="16"/>
    </row>
    <row r="257" ht="15.75" customHeight="1">
      <c r="G257" s="16"/>
      <c r="H257" s="16"/>
      <c r="I257" s="16"/>
    </row>
    <row r="258" ht="15.75" customHeight="1">
      <c r="G258" s="16"/>
      <c r="H258" s="16"/>
      <c r="I258" s="16"/>
    </row>
    <row r="259" ht="15.75" customHeight="1">
      <c r="G259" s="16"/>
      <c r="H259" s="16"/>
      <c r="I259" s="16"/>
    </row>
    <row r="260" ht="15.75" customHeight="1">
      <c r="G260" s="16"/>
      <c r="H260" s="16"/>
      <c r="I260" s="16"/>
    </row>
    <row r="261" ht="15.75" customHeight="1">
      <c r="G261" s="16"/>
      <c r="H261" s="16"/>
      <c r="I261" s="16"/>
    </row>
    <row r="262" ht="15.75" customHeight="1">
      <c r="G262" s="16"/>
      <c r="H262" s="16"/>
      <c r="I262" s="16"/>
    </row>
    <row r="263" ht="15.75" customHeight="1">
      <c r="G263" s="16"/>
      <c r="H263" s="16"/>
      <c r="I263" s="16"/>
    </row>
    <row r="264" ht="15.75" customHeight="1">
      <c r="G264" s="16"/>
      <c r="H264" s="16"/>
      <c r="I264" s="16"/>
    </row>
    <row r="265" ht="15.75" customHeight="1">
      <c r="G265" s="16"/>
      <c r="H265" s="16"/>
      <c r="I265" s="16"/>
    </row>
    <row r="266" ht="15.75" customHeight="1">
      <c r="G266" s="16"/>
      <c r="H266" s="16"/>
      <c r="I266" s="16"/>
    </row>
    <row r="267" ht="15.75" customHeight="1">
      <c r="G267" s="16"/>
      <c r="H267" s="16"/>
      <c r="I267" s="16"/>
    </row>
    <row r="268" ht="15.75" customHeight="1">
      <c r="G268" s="16"/>
      <c r="H268" s="16"/>
      <c r="I268" s="16"/>
    </row>
    <row r="269" ht="15.75" customHeight="1">
      <c r="G269" s="16"/>
      <c r="H269" s="16"/>
      <c r="I269" s="16"/>
    </row>
    <row r="270" ht="15.75" customHeight="1"/>
    <row r="271" ht="15.75" customHeight="1"/>
    <row r="272" ht="15.75" customHeight="1"/>
    <row r="273" ht="15.75" customHeight="1">
      <c r="G273" s="16"/>
      <c r="H273" s="16"/>
      <c r="I273" s="16"/>
    </row>
    <row r="274" ht="15.75" customHeight="1">
      <c r="G274" s="16"/>
      <c r="H274" s="16"/>
      <c r="I274" s="16"/>
    </row>
    <row r="275" ht="15.75" customHeight="1">
      <c r="G275" s="16"/>
      <c r="H275" s="16"/>
      <c r="I275" s="16"/>
    </row>
    <row r="276" ht="15.75" customHeight="1">
      <c r="G276" s="16"/>
      <c r="H276" s="16"/>
      <c r="I276" s="16"/>
    </row>
    <row r="277" ht="15.75" customHeight="1">
      <c r="G277" s="16"/>
      <c r="H277" s="16"/>
      <c r="I277" s="16"/>
    </row>
    <row r="278" ht="15.75" customHeight="1">
      <c r="G278" s="16"/>
      <c r="H278" s="16"/>
      <c r="I278" s="16"/>
    </row>
    <row r="279" ht="15.75" customHeight="1">
      <c r="G279" s="16"/>
      <c r="H279" s="16"/>
      <c r="I279" s="16"/>
    </row>
    <row r="280" ht="15.75" customHeight="1">
      <c r="G280" s="16"/>
      <c r="H280" s="16"/>
      <c r="I280" s="16"/>
    </row>
    <row r="281" ht="15.75" customHeight="1">
      <c r="G281" s="16"/>
      <c r="H281" s="16"/>
      <c r="I281" s="16"/>
    </row>
    <row r="282" ht="15.75" customHeight="1">
      <c r="G282" s="16"/>
      <c r="H282" s="16"/>
      <c r="I282" s="16"/>
    </row>
    <row r="283" ht="15.75" customHeight="1">
      <c r="G283" s="16"/>
      <c r="H283" s="16"/>
      <c r="I283" s="16"/>
    </row>
    <row r="284" ht="15.75" customHeight="1">
      <c r="G284" s="16"/>
      <c r="H284" s="16"/>
      <c r="I284" s="16"/>
    </row>
    <row r="285" ht="15.75" customHeight="1">
      <c r="G285" s="16"/>
      <c r="H285" s="16"/>
      <c r="I285" s="16"/>
    </row>
    <row r="286" ht="15.75" customHeight="1">
      <c r="G286" s="16"/>
      <c r="H286" s="16"/>
      <c r="I286" s="16"/>
    </row>
    <row r="287" ht="15.75" customHeight="1">
      <c r="G287" s="16"/>
      <c r="H287" s="16"/>
      <c r="I287" s="16"/>
    </row>
    <row r="288" ht="15.75" customHeight="1">
      <c r="G288" s="16"/>
      <c r="H288" s="16"/>
      <c r="I288" s="16"/>
    </row>
    <row r="289" ht="15.75" customHeight="1">
      <c r="G289" s="16"/>
      <c r="H289" s="16"/>
      <c r="I289" s="16"/>
    </row>
    <row r="290" ht="15.75" customHeight="1">
      <c r="G290" s="16"/>
      <c r="H290" s="16"/>
      <c r="I290" s="16"/>
    </row>
    <row r="291" ht="15.75" customHeight="1">
      <c r="G291" s="16"/>
      <c r="H291" s="16"/>
      <c r="I291" s="16"/>
    </row>
    <row r="292" ht="15.75" customHeight="1">
      <c r="G292" s="16"/>
      <c r="H292" s="16"/>
      <c r="I292" s="16"/>
    </row>
    <row r="293" ht="15.75" customHeight="1">
      <c r="G293" s="16"/>
      <c r="H293" s="16"/>
      <c r="I293" s="16"/>
    </row>
    <row r="294" ht="15.75" customHeight="1">
      <c r="G294" s="16"/>
      <c r="H294" s="16"/>
      <c r="I294" s="16"/>
    </row>
    <row r="295" ht="15.75" customHeight="1">
      <c r="G295" s="16"/>
      <c r="H295" s="16"/>
      <c r="I295" s="16"/>
    </row>
    <row r="296" ht="15.75" customHeight="1">
      <c r="G296" s="16"/>
      <c r="H296" s="16"/>
      <c r="I296" s="16"/>
    </row>
    <row r="297" ht="15.75" customHeight="1">
      <c r="G297" s="16"/>
      <c r="H297" s="16"/>
      <c r="I297" s="16"/>
    </row>
    <row r="298" ht="15.75" customHeight="1">
      <c r="G298" s="16"/>
      <c r="H298" s="16"/>
      <c r="I298" s="16"/>
    </row>
    <row r="299" ht="15.75" customHeight="1">
      <c r="G299" s="16"/>
      <c r="H299" s="16"/>
      <c r="I299" s="16"/>
    </row>
    <row r="300" ht="15.75" customHeight="1">
      <c r="G300" s="16"/>
      <c r="H300" s="16"/>
      <c r="I300" s="16"/>
    </row>
    <row r="301" ht="15.75" customHeight="1">
      <c r="G301" s="16"/>
      <c r="H301" s="16"/>
      <c r="I301" s="16"/>
    </row>
    <row r="302" ht="15.75" customHeight="1">
      <c r="G302" s="16"/>
      <c r="H302" s="16"/>
      <c r="I302" s="16"/>
    </row>
    <row r="303" ht="15.75" customHeight="1"/>
    <row r="304" ht="15.75" customHeight="1">
      <c r="C304" s="9"/>
      <c r="D304" s="9"/>
      <c r="E304" s="9"/>
    </row>
    <row r="305" ht="15.75" customHeight="1">
      <c r="C305" s="9"/>
      <c r="D305" s="9"/>
      <c r="E305" s="9"/>
    </row>
    <row r="306" ht="15.75" customHeight="1">
      <c r="C306" s="9"/>
      <c r="D306" s="9"/>
      <c r="E306" s="9"/>
      <c r="G306" s="16"/>
      <c r="H306" s="16"/>
      <c r="I306" s="16"/>
    </row>
    <row r="307" ht="15.75" customHeight="1">
      <c r="C307" s="9"/>
      <c r="D307" s="9"/>
      <c r="E307" s="9"/>
      <c r="G307" s="16"/>
      <c r="H307" s="16"/>
      <c r="I307" s="16"/>
    </row>
    <row r="308" ht="15.75" customHeight="1">
      <c r="C308" s="9"/>
      <c r="D308" s="9"/>
      <c r="E308" s="9"/>
      <c r="G308" s="16"/>
      <c r="H308" s="16"/>
      <c r="I308" s="16"/>
    </row>
    <row r="309" ht="15.75" customHeight="1">
      <c r="C309" s="9"/>
      <c r="D309" s="9"/>
      <c r="E309" s="9"/>
      <c r="G309" s="16"/>
      <c r="H309" s="16"/>
      <c r="I309" s="16"/>
    </row>
    <row r="310" ht="15.75" customHeight="1">
      <c r="C310" s="9"/>
      <c r="D310" s="9"/>
      <c r="E310" s="9"/>
      <c r="G310" s="16"/>
      <c r="H310" s="16"/>
      <c r="I310" s="16"/>
    </row>
    <row r="311" ht="15.75" customHeight="1">
      <c r="C311" s="9"/>
      <c r="D311" s="9"/>
      <c r="E311" s="9"/>
      <c r="G311" s="16"/>
      <c r="H311" s="16"/>
      <c r="I311" s="16"/>
    </row>
    <row r="312" ht="15.75" customHeight="1">
      <c r="C312" s="9"/>
      <c r="D312" s="9"/>
      <c r="E312" s="9"/>
      <c r="G312" s="16"/>
      <c r="H312" s="16"/>
      <c r="I312" s="16"/>
    </row>
    <row r="313" ht="15.75" customHeight="1">
      <c r="C313" s="9"/>
      <c r="D313" s="9"/>
      <c r="E313" s="9"/>
      <c r="G313" s="16"/>
      <c r="H313" s="16"/>
      <c r="I313" s="16"/>
    </row>
    <row r="314" ht="15.75" customHeight="1">
      <c r="C314" s="9"/>
      <c r="D314" s="9"/>
      <c r="E314" s="9"/>
      <c r="G314" s="16"/>
      <c r="H314" s="16"/>
      <c r="I314" s="16"/>
    </row>
    <row r="315" ht="15.75" customHeight="1">
      <c r="C315" s="9"/>
      <c r="D315" s="9"/>
      <c r="E315" s="9"/>
      <c r="G315" s="16"/>
      <c r="H315" s="16"/>
      <c r="I315" s="16"/>
    </row>
    <row r="316" ht="15.75" customHeight="1">
      <c r="C316" s="9"/>
      <c r="D316" s="9"/>
      <c r="E316" s="9"/>
      <c r="G316" s="16"/>
      <c r="H316" s="16"/>
      <c r="I316" s="16"/>
    </row>
    <row r="317" ht="15.75" customHeight="1">
      <c r="C317" s="9"/>
      <c r="D317" s="9"/>
      <c r="E317" s="9"/>
      <c r="G317" s="16"/>
      <c r="H317" s="16"/>
      <c r="I317" s="16"/>
    </row>
    <row r="318" ht="15.75" customHeight="1">
      <c r="C318" s="9"/>
      <c r="D318" s="9"/>
      <c r="E318" s="9"/>
      <c r="G318" s="16"/>
      <c r="H318" s="16"/>
      <c r="I318" s="16"/>
    </row>
    <row r="319" ht="15.75" customHeight="1">
      <c r="C319" s="9"/>
      <c r="D319" s="9"/>
      <c r="E319" s="9"/>
      <c r="G319" s="16"/>
      <c r="H319" s="16"/>
      <c r="I319" s="16"/>
    </row>
    <row r="320" ht="15.75" customHeight="1">
      <c r="C320" s="9"/>
      <c r="D320" s="9"/>
      <c r="E320" s="9"/>
      <c r="G320" s="16"/>
      <c r="H320" s="16"/>
      <c r="I320" s="16"/>
    </row>
    <row r="321" ht="15.75" customHeight="1">
      <c r="C321" s="9"/>
      <c r="D321" s="9"/>
      <c r="E321" s="9"/>
      <c r="G321" s="16"/>
      <c r="H321" s="16"/>
      <c r="I321" s="16"/>
    </row>
    <row r="322" ht="15.75" customHeight="1">
      <c r="C322" s="9"/>
      <c r="D322" s="9"/>
      <c r="E322" s="9"/>
      <c r="G322" s="16"/>
      <c r="H322" s="16"/>
      <c r="I322" s="16"/>
    </row>
    <row r="323" ht="15.75" customHeight="1">
      <c r="C323" s="9"/>
      <c r="D323" s="9"/>
      <c r="E323" s="9"/>
      <c r="G323" s="16"/>
      <c r="H323" s="16"/>
      <c r="I323" s="16"/>
    </row>
    <row r="324" ht="15.75" customHeight="1">
      <c r="C324" s="9"/>
      <c r="D324" s="9"/>
      <c r="E324" s="9"/>
      <c r="G324" s="16"/>
      <c r="H324" s="16"/>
      <c r="I324" s="16"/>
    </row>
    <row r="325" ht="15.75" customHeight="1">
      <c r="C325" s="9"/>
      <c r="D325" s="9"/>
      <c r="E325" s="9"/>
      <c r="G325" s="16"/>
      <c r="H325" s="16"/>
      <c r="I325" s="16"/>
    </row>
    <row r="326" ht="15.75" customHeight="1">
      <c r="C326" s="9"/>
      <c r="D326" s="9"/>
      <c r="E326" s="9"/>
      <c r="G326" s="16"/>
      <c r="H326" s="16"/>
      <c r="I326" s="16"/>
    </row>
    <row r="327" ht="15.75" customHeight="1">
      <c r="C327" s="9"/>
      <c r="D327" s="9"/>
      <c r="E327" s="9"/>
      <c r="G327" s="16"/>
      <c r="H327" s="16"/>
      <c r="I327" s="16"/>
    </row>
    <row r="328" ht="15.75" customHeight="1">
      <c r="C328" s="9"/>
      <c r="D328" s="9"/>
      <c r="E328" s="9"/>
      <c r="G328" s="16"/>
      <c r="H328" s="16"/>
      <c r="I328" s="16"/>
    </row>
    <row r="329" ht="15.75" customHeight="1">
      <c r="C329" s="9"/>
      <c r="D329" s="9"/>
      <c r="E329" s="9"/>
      <c r="G329" s="16"/>
      <c r="H329" s="16"/>
      <c r="I329" s="16"/>
    </row>
    <row r="330" ht="15.75" customHeight="1">
      <c r="C330" s="9"/>
      <c r="D330" s="9"/>
      <c r="E330" s="9"/>
      <c r="G330" s="16"/>
      <c r="H330" s="16"/>
      <c r="I330" s="16"/>
    </row>
    <row r="331" ht="15.75" customHeight="1">
      <c r="C331" s="9"/>
      <c r="D331" s="9"/>
      <c r="E331" s="9"/>
      <c r="G331" s="16"/>
      <c r="H331" s="16"/>
      <c r="I331" s="16"/>
    </row>
    <row r="332" ht="15.75" customHeight="1">
      <c r="C332" s="9"/>
      <c r="D332" s="9"/>
      <c r="E332" s="9"/>
      <c r="G332" s="16"/>
      <c r="H332" s="16"/>
      <c r="I332" s="16"/>
    </row>
    <row r="333" ht="15.75" customHeight="1">
      <c r="C333" s="9"/>
      <c r="D333" s="9"/>
      <c r="E333" s="9"/>
      <c r="G333" s="16"/>
      <c r="H333" s="16"/>
      <c r="I333" s="16"/>
    </row>
    <row r="334" ht="15.75" customHeight="1">
      <c r="C334" s="9"/>
      <c r="D334" s="9"/>
      <c r="E334" s="9"/>
      <c r="G334" s="16"/>
      <c r="H334" s="16"/>
      <c r="I334" s="16"/>
    </row>
    <row r="335" ht="15.75" customHeight="1">
      <c r="C335" s="9"/>
      <c r="D335" s="9"/>
      <c r="E335" s="9"/>
      <c r="G335" s="16"/>
      <c r="H335" s="16"/>
      <c r="I335" s="16"/>
    </row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>
      <c r="G341" s="16"/>
      <c r="H341" s="16"/>
      <c r="I341" s="16"/>
    </row>
    <row r="342" ht="15.75" customHeight="1">
      <c r="G342" s="16"/>
      <c r="H342" s="16"/>
      <c r="I342" s="16"/>
    </row>
    <row r="343" ht="15.75" customHeight="1">
      <c r="G343" s="16"/>
      <c r="H343" s="16"/>
      <c r="I343" s="16"/>
    </row>
    <row r="344" ht="15.75" customHeight="1">
      <c r="G344" s="16"/>
      <c r="H344" s="16"/>
      <c r="I344" s="16"/>
    </row>
    <row r="345" ht="15.75" customHeight="1">
      <c r="G345" s="16"/>
      <c r="H345" s="16"/>
      <c r="I345" s="16"/>
    </row>
    <row r="346" ht="15.75" customHeight="1">
      <c r="G346" s="16"/>
      <c r="H346" s="16"/>
      <c r="I346" s="16"/>
    </row>
    <row r="347" ht="15.75" customHeight="1">
      <c r="G347" s="16"/>
      <c r="H347" s="16"/>
      <c r="I347" s="16"/>
    </row>
    <row r="348" ht="15.75" customHeight="1">
      <c r="G348" s="16"/>
      <c r="H348" s="16"/>
      <c r="I348" s="16"/>
    </row>
    <row r="349" ht="15.75" customHeight="1">
      <c r="G349" s="16"/>
      <c r="H349" s="16"/>
      <c r="I349" s="16"/>
    </row>
    <row r="350" ht="15.75" customHeight="1">
      <c r="G350" s="16"/>
      <c r="H350" s="16"/>
      <c r="I350" s="16"/>
    </row>
    <row r="351" ht="15.75" customHeight="1">
      <c r="G351" s="16"/>
      <c r="H351" s="16"/>
      <c r="I351" s="16"/>
    </row>
    <row r="352" ht="15.75" customHeight="1">
      <c r="G352" s="16"/>
      <c r="H352" s="16"/>
      <c r="I352" s="16"/>
    </row>
    <row r="353" ht="15.75" customHeight="1">
      <c r="G353" s="16"/>
      <c r="H353" s="16"/>
      <c r="I353" s="16"/>
    </row>
    <row r="354" ht="15.75" customHeight="1">
      <c r="G354" s="16"/>
      <c r="H354" s="16"/>
      <c r="I354" s="16"/>
    </row>
    <row r="355" ht="15.75" customHeight="1">
      <c r="G355" s="16"/>
      <c r="H355" s="16"/>
      <c r="I355" s="16"/>
    </row>
    <row r="356" ht="15.75" customHeight="1">
      <c r="G356" s="16"/>
      <c r="H356" s="16"/>
      <c r="I356" s="16"/>
    </row>
    <row r="357" ht="15.75" customHeight="1">
      <c r="G357" s="16"/>
      <c r="H357" s="16"/>
      <c r="I357" s="16"/>
    </row>
    <row r="358" ht="15.75" customHeight="1">
      <c r="G358" s="16"/>
      <c r="H358" s="16"/>
      <c r="I358" s="16"/>
    </row>
    <row r="359" ht="15.75" customHeight="1">
      <c r="G359" s="16"/>
      <c r="H359" s="16"/>
      <c r="I359" s="16"/>
    </row>
    <row r="360" ht="15.75" customHeight="1">
      <c r="G360" s="16"/>
      <c r="H360" s="16"/>
      <c r="I360" s="16"/>
    </row>
    <row r="361" ht="15.75" customHeight="1">
      <c r="G361" s="16"/>
      <c r="H361" s="16"/>
      <c r="I361" s="16"/>
    </row>
    <row r="362" ht="15.75" customHeight="1">
      <c r="G362" s="16"/>
      <c r="H362" s="16"/>
      <c r="I362" s="16"/>
    </row>
    <row r="363" ht="15.75" customHeight="1">
      <c r="G363" s="16"/>
      <c r="H363" s="16"/>
      <c r="I363" s="16"/>
    </row>
    <row r="364" ht="15.75" customHeight="1">
      <c r="G364" s="16"/>
      <c r="H364" s="16"/>
      <c r="I364" s="16"/>
    </row>
    <row r="365" ht="15.75" customHeight="1">
      <c r="G365" s="16"/>
      <c r="H365" s="16"/>
      <c r="I365" s="16"/>
    </row>
    <row r="366" ht="15.75" customHeight="1">
      <c r="G366" s="16"/>
      <c r="H366" s="16"/>
      <c r="I366" s="16"/>
    </row>
    <row r="367" ht="15.75" customHeight="1">
      <c r="G367" s="16"/>
      <c r="H367" s="16"/>
      <c r="I367" s="16"/>
    </row>
    <row r="368" ht="15.75" customHeight="1">
      <c r="G368" s="16"/>
      <c r="H368" s="16"/>
      <c r="I368" s="16"/>
    </row>
    <row r="369" ht="15.75" customHeight="1">
      <c r="G369" s="16"/>
      <c r="H369" s="16"/>
      <c r="I369" s="16"/>
    </row>
    <row r="370" ht="15.75" customHeight="1">
      <c r="G370" s="16"/>
      <c r="H370" s="16"/>
      <c r="I370" s="16"/>
    </row>
    <row r="371" ht="15.75" customHeight="1"/>
    <row r="372" ht="15.75" customHeight="1"/>
    <row r="373" ht="15.75" customHeight="1"/>
    <row r="374" ht="15.75" customHeight="1"/>
    <row r="375" ht="15.75" customHeight="1">
      <c r="G375" s="16"/>
      <c r="H375" s="16"/>
      <c r="I375" s="16"/>
    </row>
    <row r="376" ht="15.75" customHeight="1">
      <c r="G376" s="16"/>
      <c r="H376" s="16"/>
      <c r="I376" s="16"/>
    </row>
    <row r="377" ht="15.75" customHeight="1">
      <c r="G377" s="16"/>
      <c r="H377" s="16"/>
      <c r="I377" s="16"/>
    </row>
    <row r="378" ht="15.75" customHeight="1">
      <c r="G378" s="16"/>
      <c r="H378" s="16"/>
      <c r="I378" s="16"/>
    </row>
    <row r="379" ht="15.75" customHeight="1">
      <c r="G379" s="16"/>
      <c r="H379" s="16"/>
      <c r="I379" s="16"/>
    </row>
    <row r="380" ht="15.75" customHeight="1">
      <c r="G380" s="16"/>
      <c r="H380" s="16"/>
      <c r="I380" s="16"/>
    </row>
    <row r="381" ht="15.75" customHeight="1">
      <c r="G381" s="16"/>
      <c r="H381" s="16"/>
      <c r="I381" s="16"/>
    </row>
    <row r="382" ht="15.75" customHeight="1">
      <c r="G382" s="16"/>
      <c r="H382" s="16"/>
      <c r="I382" s="16"/>
    </row>
    <row r="383" ht="15.75" customHeight="1">
      <c r="G383" s="16"/>
      <c r="H383" s="16"/>
      <c r="I383" s="16"/>
    </row>
    <row r="384" ht="15.75" customHeight="1">
      <c r="G384" s="16"/>
      <c r="H384" s="16"/>
      <c r="I384" s="16"/>
    </row>
    <row r="385" ht="15.75" customHeight="1">
      <c r="G385" s="16"/>
      <c r="H385" s="16"/>
      <c r="I385" s="16"/>
    </row>
    <row r="386" ht="15.75" customHeight="1">
      <c r="G386" s="16"/>
      <c r="H386" s="16"/>
      <c r="I386" s="16"/>
    </row>
    <row r="387" ht="15.75" customHeight="1">
      <c r="G387" s="16"/>
      <c r="H387" s="16"/>
      <c r="I387" s="16"/>
    </row>
    <row r="388" ht="15.75" customHeight="1">
      <c r="G388" s="16"/>
      <c r="H388" s="16"/>
      <c r="I388" s="16"/>
    </row>
    <row r="389" ht="15.75" customHeight="1">
      <c r="G389" s="16"/>
      <c r="H389" s="16"/>
      <c r="I389" s="16"/>
    </row>
    <row r="390" ht="15.75" customHeight="1">
      <c r="G390" s="16"/>
      <c r="H390" s="16"/>
      <c r="I390" s="16"/>
    </row>
    <row r="391" ht="15.75" customHeight="1">
      <c r="G391" s="16"/>
      <c r="H391" s="16"/>
      <c r="I391" s="16"/>
    </row>
    <row r="392" ht="15.75" customHeight="1">
      <c r="G392" s="16"/>
      <c r="H392" s="16"/>
      <c r="I392" s="16"/>
    </row>
    <row r="393" ht="15.75" customHeight="1">
      <c r="G393" s="16"/>
      <c r="H393" s="16"/>
      <c r="I393" s="16"/>
    </row>
    <row r="394" ht="15.75" customHeight="1">
      <c r="G394" s="16"/>
      <c r="H394" s="16"/>
      <c r="I394" s="16"/>
    </row>
    <row r="395" ht="15.75" customHeight="1">
      <c r="G395" s="16"/>
      <c r="H395" s="16"/>
      <c r="I395" s="16"/>
    </row>
    <row r="396" ht="15.75" customHeight="1">
      <c r="G396" s="16"/>
      <c r="H396" s="16"/>
      <c r="I396" s="16"/>
    </row>
    <row r="397" ht="15.75" customHeight="1">
      <c r="G397" s="16"/>
      <c r="H397" s="16"/>
      <c r="I397" s="16"/>
    </row>
    <row r="398" ht="15.75" customHeight="1">
      <c r="G398" s="16"/>
      <c r="H398" s="16"/>
      <c r="I398" s="16"/>
    </row>
    <row r="399" ht="15.75" customHeight="1">
      <c r="G399" s="16"/>
      <c r="H399" s="16"/>
      <c r="I399" s="16"/>
    </row>
    <row r="400" ht="15.75" customHeight="1">
      <c r="G400" s="16"/>
      <c r="H400" s="16"/>
      <c r="I400" s="16"/>
    </row>
    <row r="401" ht="15.75" customHeight="1">
      <c r="G401" s="16"/>
      <c r="H401" s="16"/>
      <c r="I401" s="16"/>
    </row>
    <row r="402" ht="15.75" customHeight="1">
      <c r="G402" s="16"/>
      <c r="H402" s="16"/>
      <c r="I402" s="16"/>
    </row>
    <row r="403" ht="15.75" customHeight="1">
      <c r="G403" s="16"/>
      <c r="H403" s="16"/>
      <c r="I403" s="16"/>
    </row>
    <row r="404" ht="15.75" customHeight="1">
      <c r="G404" s="16"/>
      <c r="H404" s="16"/>
      <c r="I404" s="16"/>
    </row>
    <row r="405" ht="15.75" customHeight="1"/>
    <row r="406" ht="15.75" customHeight="1"/>
    <row r="407" ht="15.75" customHeight="1"/>
    <row r="408" ht="15.75" customHeight="1"/>
    <row r="409" ht="15.75" customHeight="1">
      <c r="G409" s="16"/>
      <c r="H409" s="16"/>
      <c r="I409" s="16"/>
    </row>
    <row r="410" ht="15.75" customHeight="1">
      <c r="G410" s="16"/>
      <c r="H410" s="16"/>
      <c r="I410" s="16"/>
    </row>
    <row r="411" ht="15.75" customHeight="1">
      <c r="G411" s="16"/>
      <c r="H411" s="16"/>
      <c r="I411" s="16"/>
    </row>
    <row r="412" ht="15.75" customHeight="1">
      <c r="G412" s="16"/>
      <c r="H412" s="16"/>
      <c r="I412" s="16"/>
    </row>
    <row r="413" ht="15.75" customHeight="1">
      <c r="G413" s="16"/>
      <c r="H413" s="16"/>
      <c r="I413" s="16"/>
    </row>
    <row r="414" ht="15.75" customHeight="1">
      <c r="G414" s="16"/>
      <c r="H414" s="16"/>
      <c r="I414" s="16"/>
    </row>
    <row r="415" ht="15.75" customHeight="1">
      <c r="G415" s="16"/>
      <c r="H415" s="16"/>
      <c r="I415" s="16"/>
    </row>
    <row r="416" ht="15.75" customHeight="1">
      <c r="G416" s="16"/>
      <c r="H416" s="16"/>
      <c r="I416" s="16"/>
    </row>
    <row r="417" ht="15.75" customHeight="1">
      <c r="G417" s="16"/>
      <c r="H417" s="16"/>
      <c r="I417" s="16"/>
    </row>
    <row r="418" ht="15.75" customHeight="1">
      <c r="G418" s="16"/>
      <c r="H418" s="16"/>
      <c r="I418" s="16"/>
    </row>
    <row r="419" ht="15.75" customHeight="1">
      <c r="G419" s="16"/>
      <c r="H419" s="16"/>
      <c r="I419" s="16"/>
    </row>
    <row r="420" ht="15.75" customHeight="1">
      <c r="G420" s="16"/>
      <c r="H420" s="16"/>
      <c r="I420" s="16"/>
    </row>
    <row r="421" ht="15.75" customHeight="1">
      <c r="G421" s="16"/>
      <c r="H421" s="16"/>
      <c r="I421" s="16"/>
    </row>
    <row r="422" ht="15.75" customHeight="1">
      <c r="G422" s="16"/>
      <c r="H422" s="16"/>
      <c r="I422" s="16"/>
    </row>
    <row r="423" ht="15.75" customHeight="1">
      <c r="G423" s="16"/>
      <c r="H423" s="16"/>
      <c r="I423" s="16"/>
    </row>
    <row r="424" ht="15.75" customHeight="1">
      <c r="G424" s="16"/>
      <c r="H424" s="16"/>
      <c r="I424" s="16"/>
    </row>
    <row r="425" ht="15.75" customHeight="1">
      <c r="G425" s="16"/>
      <c r="H425" s="16"/>
      <c r="I425" s="16"/>
    </row>
    <row r="426" ht="15.75" customHeight="1">
      <c r="G426" s="16"/>
      <c r="H426" s="16"/>
      <c r="I426" s="16"/>
    </row>
    <row r="427" ht="15.75" customHeight="1">
      <c r="G427" s="16"/>
      <c r="H427" s="16"/>
      <c r="I427" s="16"/>
    </row>
    <row r="428" ht="15.75" customHeight="1">
      <c r="G428" s="16"/>
      <c r="H428" s="16"/>
      <c r="I428" s="16"/>
    </row>
    <row r="429" ht="15.75" customHeight="1">
      <c r="G429" s="16"/>
      <c r="H429" s="16"/>
      <c r="I429" s="16"/>
    </row>
    <row r="430" ht="15.75" customHeight="1">
      <c r="G430" s="16"/>
      <c r="H430" s="16"/>
      <c r="I430" s="16"/>
    </row>
    <row r="431" ht="15.75" customHeight="1">
      <c r="G431" s="16"/>
      <c r="H431" s="16"/>
      <c r="I431" s="16"/>
    </row>
    <row r="432" ht="15.75" customHeight="1">
      <c r="G432" s="16"/>
      <c r="H432" s="16"/>
      <c r="I432" s="16"/>
    </row>
    <row r="433" ht="15.75" customHeight="1">
      <c r="G433" s="16"/>
      <c r="H433" s="16"/>
      <c r="I433" s="16"/>
    </row>
    <row r="434" ht="15.75" customHeight="1">
      <c r="G434" s="16"/>
      <c r="H434" s="16"/>
      <c r="I434" s="16"/>
    </row>
    <row r="435" ht="15.75" customHeight="1">
      <c r="G435" s="16"/>
      <c r="H435" s="16"/>
      <c r="I435" s="16"/>
    </row>
    <row r="436" ht="15.75" customHeight="1">
      <c r="G436" s="16"/>
      <c r="H436" s="16"/>
      <c r="I436" s="16"/>
    </row>
    <row r="437" ht="15.75" customHeight="1">
      <c r="G437" s="16"/>
      <c r="H437" s="16"/>
      <c r="I437" s="16"/>
    </row>
    <row r="438" ht="15.75" customHeight="1">
      <c r="G438" s="16"/>
      <c r="H438" s="16"/>
      <c r="I438" s="16"/>
    </row>
    <row r="439" ht="15.75" customHeight="1"/>
    <row r="440" ht="15.75" customHeight="1"/>
    <row r="441" ht="15.75" customHeight="1"/>
    <row r="442" ht="15.75" customHeight="1">
      <c r="G442" s="16"/>
      <c r="H442" s="16"/>
      <c r="I442" s="16"/>
    </row>
    <row r="443" ht="15.75" customHeight="1">
      <c r="G443" s="16"/>
      <c r="H443" s="16"/>
      <c r="I443" s="16"/>
    </row>
    <row r="444" ht="15.75" customHeight="1">
      <c r="G444" s="16"/>
      <c r="H444" s="16"/>
      <c r="I444" s="16"/>
    </row>
    <row r="445" ht="15.75" customHeight="1">
      <c r="G445" s="16"/>
      <c r="H445" s="16"/>
      <c r="I445" s="16"/>
    </row>
    <row r="446" ht="15.75" customHeight="1">
      <c r="G446" s="16"/>
      <c r="H446" s="16"/>
      <c r="I446" s="16"/>
    </row>
    <row r="447" ht="15.75" customHeight="1">
      <c r="G447" s="16"/>
      <c r="H447" s="16"/>
      <c r="I447" s="16"/>
    </row>
    <row r="448" ht="15.75" customHeight="1">
      <c r="G448" s="16"/>
      <c r="H448" s="16"/>
      <c r="I448" s="16"/>
    </row>
    <row r="449" ht="15.75" customHeight="1">
      <c r="G449" s="16"/>
      <c r="H449" s="16"/>
      <c r="I449" s="16"/>
    </row>
    <row r="450" ht="15.75" customHeight="1">
      <c r="G450" s="16"/>
      <c r="H450" s="16"/>
      <c r="I450" s="16"/>
    </row>
    <row r="451" ht="15.75" customHeight="1">
      <c r="G451" s="16"/>
      <c r="H451" s="16"/>
      <c r="I451" s="16"/>
    </row>
    <row r="452" ht="15.75" customHeight="1">
      <c r="G452" s="16"/>
      <c r="H452" s="16"/>
      <c r="I452" s="16"/>
    </row>
    <row r="453" ht="15.75" customHeight="1">
      <c r="G453" s="16"/>
      <c r="H453" s="16"/>
      <c r="I453" s="16"/>
    </row>
    <row r="454" ht="15.75" customHeight="1">
      <c r="G454" s="16"/>
      <c r="H454" s="16"/>
      <c r="I454" s="16"/>
    </row>
    <row r="455" ht="15.75" customHeight="1">
      <c r="G455" s="16"/>
      <c r="H455" s="16"/>
      <c r="I455" s="16"/>
    </row>
    <row r="456" ht="15.75" customHeight="1">
      <c r="G456" s="16"/>
      <c r="H456" s="16"/>
      <c r="I456" s="16"/>
    </row>
    <row r="457" ht="15.75" customHeight="1">
      <c r="G457" s="16"/>
      <c r="H457" s="16"/>
      <c r="I457" s="16"/>
    </row>
    <row r="458" ht="15.75" customHeight="1">
      <c r="G458" s="16"/>
      <c r="H458" s="16"/>
      <c r="I458" s="16"/>
    </row>
    <row r="459" ht="15.75" customHeight="1">
      <c r="G459" s="16"/>
      <c r="H459" s="16"/>
      <c r="I459" s="16"/>
    </row>
    <row r="460" ht="15.75" customHeight="1">
      <c r="G460" s="16"/>
      <c r="H460" s="16"/>
      <c r="I460" s="16"/>
    </row>
    <row r="461" ht="15.75" customHeight="1">
      <c r="G461" s="16"/>
      <c r="H461" s="16"/>
      <c r="I461" s="16"/>
    </row>
    <row r="462" ht="15.75" customHeight="1">
      <c r="G462" s="16"/>
      <c r="H462" s="16"/>
      <c r="I462" s="16"/>
    </row>
    <row r="463" ht="15.75" customHeight="1">
      <c r="G463" s="16"/>
      <c r="H463" s="16"/>
      <c r="I463" s="16"/>
    </row>
    <row r="464" ht="15.75" customHeight="1">
      <c r="G464" s="16"/>
      <c r="H464" s="16"/>
      <c r="I464" s="16"/>
    </row>
    <row r="465" ht="15.75" customHeight="1">
      <c r="G465" s="16"/>
      <c r="H465" s="16"/>
      <c r="I465" s="16"/>
    </row>
    <row r="466" ht="15.75" customHeight="1">
      <c r="G466" s="16"/>
      <c r="H466" s="16"/>
      <c r="I466" s="16"/>
    </row>
    <row r="467" ht="15.75" customHeight="1">
      <c r="G467" s="16"/>
      <c r="H467" s="16"/>
      <c r="I467" s="16"/>
    </row>
    <row r="468" ht="15.75" customHeight="1">
      <c r="G468" s="16"/>
      <c r="H468" s="16"/>
      <c r="I468" s="16"/>
    </row>
    <row r="469" ht="15.75" customHeight="1">
      <c r="G469" s="16"/>
      <c r="H469" s="16"/>
      <c r="I469" s="16"/>
    </row>
    <row r="470" ht="15.75" customHeight="1">
      <c r="G470" s="16"/>
      <c r="H470" s="16"/>
      <c r="I470" s="16"/>
    </row>
    <row r="471" ht="15.75" customHeight="1">
      <c r="G471" s="16"/>
      <c r="H471" s="16"/>
      <c r="I471" s="16"/>
    </row>
    <row r="472" ht="15.75" customHeight="1">
      <c r="G472" s="16"/>
      <c r="H472" s="16"/>
      <c r="I472" s="16"/>
    </row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8.0"/>
    <col customWidth="1" min="3" max="3" width="29.0"/>
  </cols>
  <sheetData>
    <row r="1">
      <c r="A1" s="10" t="s">
        <v>179</v>
      </c>
      <c r="B1" s="17" t="s">
        <v>180</v>
      </c>
      <c r="C1" s="11" t="s">
        <v>5</v>
      </c>
    </row>
    <row r="2">
      <c r="A2" s="18" t="s">
        <v>181</v>
      </c>
      <c r="B2" s="19" t="s">
        <v>182</v>
      </c>
      <c r="C2" s="15">
        <v>2025.0</v>
      </c>
    </row>
    <row r="3">
      <c r="A3" s="18" t="s">
        <v>181</v>
      </c>
      <c r="B3" s="19" t="s">
        <v>183</v>
      </c>
      <c r="C3" s="15">
        <v>2024.0</v>
      </c>
    </row>
    <row r="4">
      <c r="A4" s="18" t="s">
        <v>184</v>
      </c>
      <c r="B4" s="19" t="s">
        <v>185</v>
      </c>
      <c r="C4" s="15">
        <v>2023.0</v>
      </c>
    </row>
    <row r="5">
      <c r="A5" s="18" t="s">
        <v>186</v>
      </c>
      <c r="B5" s="19" t="s">
        <v>187</v>
      </c>
      <c r="C5" s="15">
        <v>2022.0</v>
      </c>
    </row>
    <row r="6">
      <c r="A6" s="18" t="s">
        <v>188</v>
      </c>
      <c r="B6" s="19" t="s">
        <v>186</v>
      </c>
      <c r="C6" s="15">
        <v>2021.0</v>
      </c>
    </row>
    <row r="7">
      <c r="A7" s="18" t="s">
        <v>181</v>
      </c>
      <c r="B7" s="20" t="s">
        <v>189</v>
      </c>
      <c r="C7" s="15">
        <v>2020.0</v>
      </c>
    </row>
    <row r="8">
      <c r="A8" s="21" t="s">
        <v>190</v>
      </c>
      <c r="B8" s="19" t="s">
        <v>186</v>
      </c>
      <c r="C8" s="15">
        <v>2019.0</v>
      </c>
    </row>
    <row r="9">
      <c r="A9" s="18" t="s">
        <v>191</v>
      </c>
      <c r="B9" s="19" t="s">
        <v>181</v>
      </c>
      <c r="C9" s="15">
        <v>2018.0</v>
      </c>
    </row>
    <row r="10">
      <c r="A10" s="18" t="s">
        <v>186</v>
      </c>
      <c r="B10" s="19" t="s">
        <v>181</v>
      </c>
      <c r="C10" s="15">
        <v>2017.0</v>
      </c>
    </row>
    <row r="11">
      <c r="A11" s="18" t="s">
        <v>192</v>
      </c>
      <c r="B11" s="19" t="s">
        <v>193</v>
      </c>
      <c r="C11" s="15">
        <v>2016.0</v>
      </c>
    </row>
    <row r="12">
      <c r="A12" s="21" t="s">
        <v>194</v>
      </c>
      <c r="B12" s="19" t="s">
        <v>195</v>
      </c>
      <c r="C12" s="15">
        <v>2015.0</v>
      </c>
    </row>
    <row r="13">
      <c r="A13" s="18" t="s">
        <v>196</v>
      </c>
      <c r="B13" s="19" t="s">
        <v>197</v>
      </c>
      <c r="C13" s="15">
        <v>2014.0</v>
      </c>
    </row>
    <row r="14">
      <c r="A14" s="18" t="s">
        <v>191</v>
      </c>
      <c r="B14" s="19" t="s">
        <v>198</v>
      </c>
      <c r="C14" s="15">
        <v>2013.0</v>
      </c>
    </row>
    <row r="15">
      <c r="A15" s="21" t="s">
        <v>199</v>
      </c>
      <c r="B15" s="19" t="s">
        <v>200</v>
      </c>
      <c r="C15" s="15">
        <v>2012.0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2025-11-13T08:57:50Z</dcterms:created>
  <dc:creator>Sean Garcia</dc:creator>
</cp:coreProperties>
</file>